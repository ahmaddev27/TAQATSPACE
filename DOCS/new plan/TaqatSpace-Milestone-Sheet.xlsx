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Tasks" sheetId="3" state="visible" r:id="rId3"/>
    <sheet xmlns:r="http://schemas.openxmlformats.org/officeDocument/2006/relationships" name="By Type" sheetId="4" state="visible" r:id="rId4"/>
    <sheet xmlns:r="http://schemas.openxmlformats.org/officeDocument/2006/relationships" name="Gap Matrix" sheetId="5" state="visible" r:id="rId5"/>
    <sheet xmlns:r="http://schemas.openxmlformats.org/officeDocument/2006/relationships" name="Risks" sheetId="6" state="visible" r:id="rId6"/>
    <sheet xmlns:r="http://schemas.openxmlformats.org/officeDocument/2006/relationships" name="Decisions" sheetId="7" state="visible" r:id="rId7"/>
    <sheet xmlns:r="http://schemas.openxmlformats.org/officeDocument/2006/relationships" name="Open Questions" sheetId="8" state="visible" r:id="rId8"/>
  </sheets>
  <definedNames>
    <definedName name="_xlnm._FilterDatabase" localSheetId="2" hidden="1">'Tasks'!$A$1:$M$165</definedName>
    <definedName name="_xlnm._FilterDatabase" localSheetId="4" hidden="1">'Gap Matrix'!$A$1:$F$137</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sz val="12"/>
    </font>
    <font>
      <name val="Arial"/>
      <sz val="10"/>
    </font>
    <font>
      <name val="Arial"/>
      <b val="1"/>
      <sz val="10"/>
    </font>
    <font>
      <name val="Arial"/>
      <b val="1"/>
      <color rgb="00FFFFFF"/>
      <sz val="11"/>
    </font>
    <font>
      <name val="Arial"/>
      <color rgb="000563C1"/>
      <sz val="10"/>
      <u val="single"/>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vertical="top" wrapText="1"/>
    </xf>
    <xf numFmtId="2" fontId="2" fillId="0" borderId="1" applyAlignment="1" pivotButton="0" quotePrefix="0" xfId="0">
      <alignment vertical="top" wrapText="1"/>
    </xf>
    <xf numFmtId="164" fontId="2" fillId="0" borderId="1" applyAlignment="1" pivotButton="0" quotePrefix="0" xfId="0">
      <alignment vertical="top" wrapText="1"/>
    </xf>
    <xf numFmtId="9" fontId="2" fillId="0" borderId="1" applyAlignment="1" pivotButton="0" quotePrefix="0" xfId="0">
      <alignment vertical="top" wrapText="1"/>
    </xf>
    <xf numFmtId="0" fontId="3" fillId="0" borderId="1" pivotButton="0" quotePrefix="0" xfId="0"/>
    <xf numFmtId="2" fontId="3" fillId="0" borderId="1" pivotButton="0" quotePrefix="0" xfId="0"/>
    <xf numFmtId="164" fontId="3" fillId="0" borderId="1" pivotButton="0" quotePrefix="0" xfId="0"/>
    <xf numFmtId="9" fontId="3" fillId="0" borderId="1" pivotButton="0" quotePrefix="0" xfId="0"/>
    <xf numFmtId="0" fontId="2" fillId="3" borderId="1" applyAlignment="1" pivotButton="0" quotePrefix="0" xfId="0">
      <alignment vertical="top" wrapText="1"/>
    </xf>
    <xf numFmtId="0" fontId="5" fillId="0" borderId="1" applyAlignment="1" pivotButton="0" quotePrefix="0" xfId="0">
      <alignment vertical="top" wrapText="1"/>
    </xf>
    <xf numFmtId="2" fontId="0" fillId="0" borderId="0" pivotButton="0" quotePrefix="0" xfId="0"/>
    <xf numFmtId="9" fontId="0" fillId="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ahmaddev27/TAQATSPACE/issues/186" TargetMode="External" Id="rId1"/><Relationship Type="http://schemas.openxmlformats.org/officeDocument/2006/relationships/hyperlink" Target="https://github.com/ahmaddev27/TAQATSPACE/issues/187" TargetMode="External" Id="rId2"/><Relationship Type="http://schemas.openxmlformats.org/officeDocument/2006/relationships/hyperlink" Target="https://github.com/ahmaddev27/TAQATSPACE/issues/188" TargetMode="External" Id="rId3"/><Relationship Type="http://schemas.openxmlformats.org/officeDocument/2006/relationships/hyperlink" Target="https://github.com/ahmaddev27/TAQATSPACE/issues/189" TargetMode="External" Id="rId4"/><Relationship Type="http://schemas.openxmlformats.org/officeDocument/2006/relationships/hyperlink" Target="https://github.com/ahmaddev27/TAQATSPACE/issues/190" TargetMode="External" Id="rId5"/><Relationship Type="http://schemas.openxmlformats.org/officeDocument/2006/relationships/hyperlink" Target="https://github.com/ahmaddev27/TAQATSPACE/issues/191" TargetMode="External" Id="rId6"/><Relationship Type="http://schemas.openxmlformats.org/officeDocument/2006/relationships/hyperlink" Target="https://github.com/ahmaddev27/TAQATSPACE/issues/192" TargetMode="External" Id="rId7"/><Relationship Type="http://schemas.openxmlformats.org/officeDocument/2006/relationships/hyperlink" Target="https://github.com/ahmaddev27/TAQATSPACE/issues/193" TargetMode="External" Id="rId8"/><Relationship Type="http://schemas.openxmlformats.org/officeDocument/2006/relationships/hyperlink" Target="https://github.com/ahmaddev27/TAQATSPACE/issues/194" TargetMode="External" Id="rId9"/><Relationship Type="http://schemas.openxmlformats.org/officeDocument/2006/relationships/hyperlink" Target="https://github.com/ahmaddev27/TAQATSPACE/issues/195" TargetMode="External" Id="rId10"/><Relationship Type="http://schemas.openxmlformats.org/officeDocument/2006/relationships/hyperlink" Target="https://github.com/ahmaddev27/TAQATSPACE/issues/196" TargetMode="External" Id="rId11"/><Relationship Type="http://schemas.openxmlformats.org/officeDocument/2006/relationships/hyperlink" Target="https://github.com/ahmaddev27/TAQATSPACE/issues/197" TargetMode="External" Id="rId12"/><Relationship Type="http://schemas.openxmlformats.org/officeDocument/2006/relationships/hyperlink" Target="https://github.com/ahmaddev27/TAQATSPACE/issues/198" TargetMode="External" Id="rId13"/><Relationship Type="http://schemas.openxmlformats.org/officeDocument/2006/relationships/hyperlink" Target="https://github.com/ahmaddev27/TAQATSPACE/issues/199" TargetMode="External" Id="rId14"/><Relationship Type="http://schemas.openxmlformats.org/officeDocument/2006/relationships/hyperlink" Target="https://github.com/ahmaddev27/TAQATSPACE/issues/200" TargetMode="External" Id="rId15"/><Relationship Type="http://schemas.openxmlformats.org/officeDocument/2006/relationships/hyperlink" Target="https://github.com/ahmaddev27/TAQATSPACE/issues/201" TargetMode="External" Id="rId16"/><Relationship Type="http://schemas.openxmlformats.org/officeDocument/2006/relationships/hyperlink" Target="https://github.com/ahmaddev27/TAQATSPACE/issues/202" TargetMode="External" Id="rId17"/><Relationship Type="http://schemas.openxmlformats.org/officeDocument/2006/relationships/hyperlink" Target="https://github.com/ahmaddev27/TAQATSPACE/issues/203" TargetMode="External" Id="rId18"/><Relationship Type="http://schemas.openxmlformats.org/officeDocument/2006/relationships/hyperlink" Target="https://github.com/ahmaddev27/TAQATSPACE/issues/204" TargetMode="External" Id="rId19"/><Relationship Type="http://schemas.openxmlformats.org/officeDocument/2006/relationships/hyperlink" Target="https://github.com/ahmaddev27/TAQATSPACE/issues/205" TargetMode="External" Id="rId20"/><Relationship Type="http://schemas.openxmlformats.org/officeDocument/2006/relationships/hyperlink" Target="https://github.com/ahmaddev27/TAQATSPACE/issues/206" TargetMode="External" Id="rId21"/><Relationship Type="http://schemas.openxmlformats.org/officeDocument/2006/relationships/hyperlink" Target="https://github.com/ahmaddev27/TAQATSPACE/issues/207" TargetMode="External" Id="rId22"/><Relationship Type="http://schemas.openxmlformats.org/officeDocument/2006/relationships/hyperlink" Target="https://github.com/ahmaddev27/TAQATSPACE/issues/208" TargetMode="External" Id="rId23"/><Relationship Type="http://schemas.openxmlformats.org/officeDocument/2006/relationships/hyperlink" Target="https://github.com/ahmaddev27/TAQATSPACE/issues/209" TargetMode="External" Id="rId24"/><Relationship Type="http://schemas.openxmlformats.org/officeDocument/2006/relationships/hyperlink" Target="https://github.com/ahmaddev27/TAQATSPACE/issues/210" TargetMode="External" Id="rId25"/><Relationship Type="http://schemas.openxmlformats.org/officeDocument/2006/relationships/hyperlink" Target="https://github.com/ahmaddev27/TAQATSPACE/issues/211" TargetMode="External" Id="rId26"/><Relationship Type="http://schemas.openxmlformats.org/officeDocument/2006/relationships/hyperlink" Target="https://github.com/ahmaddev27/TAQATSPACE/issues/212" TargetMode="External" Id="rId27"/><Relationship Type="http://schemas.openxmlformats.org/officeDocument/2006/relationships/hyperlink" Target="https://github.com/ahmaddev27/TAQATSPACE/issues/213" TargetMode="External" Id="rId28"/><Relationship Type="http://schemas.openxmlformats.org/officeDocument/2006/relationships/hyperlink" Target="https://github.com/ahmaddev27/TAQATSPACE/issues/214" TargetMode="External" Id="rId29"/><Relationship Type="http://schemas.openxmlformats.org/officeDocument/2006/relationships/hyperlink" Target="https://github.com/ahmaddev27/TAQATSPACE/issues/215" TargetMode="External" Id="rId30"/><Relationship Type="http://schemas.openxmlformats.org/officeDocument/2006/relationships/hyperlink" Target="https://github.com/ahmaddev27/TAQATSPACE/issues/216" TargetMode="External" Id="rId31"/><Relationship Type="http://schemas.openxmlformats.org/officeDocument/2006/relationships/hyperlink" Target="https://github.com/ahmaddev27/TAQATSPACE/issues/217" TargetMode="External" Id="rId32"/><Relationship Type="http://schemas.openxmlformats.org/officeDocument/2006/relationships/hyperlink" Target="https://github.com/ahmaddev27/TAQATSPACE/issues/218" TargetMode="External" Id="rId33"/><Relationship Type="http://schemas.openxmlformats.org/officeDocument/2006/relationships/hyperlink" Target="https://github.com/ahmaddev27/TAQATSPACE/issues/219" TargetMode="External" Id="rId34"/><Relationship Type="http://schemas.openxmlformats.org/officeDocument/2006/relationships/hyperlink" Target="https://github.com/ahmaddev27/TAQATSPACE/issues/220" TargetMode="External" Id="rId35"/><Relationship Type="http://schemas.openxmlformats.org/officeDocument/2006/relationships/hyperlink" Target="https://github.com/ahmaddev27/TAQATSPACE/issues/221" TargetMode="External" Id="rId36"/><Relationship Type="http://schemas.openxmlformats.org/officeDocument/2006/relationships/hyperlink" Target="https://github.com/ahmaddev27/TAQATSPACE/issues/222" TargetMode="External" Id="rId37"/><Relationship Type="http://schemas.openxmlformats.org/officeDocument/2006/relationships/hyperlink" Target="https://github.com/ahmaddev27/TAQATSPACE/issues/223" TargetMode="External" Id="rId38"/><Relationship Type="http://schemas.openxmlformats.org/officeDocument/2006/relationships/hyperlink" Target="https://github.com/ahmaddev27/TAQATSPACE/issues/224" TargetMode="External" Id="rId39"/><Relationship Type="http://schemas.openxmlformats.org/officeDocument/2006/relationships/hyperlink" Target="https://github.com/ahmaddev27/TAQATSPACE/issues/225" TargetMode="External" Id="rId40"/><Relationship Type="http://schemas.openxmlformats.org/officeDocument/2006/relationships/hyperlink" Target="https://github.com/ahmaddev27/TAQATSPACE/issues/226" TargetMode="External" Id="rId41"/><Relationship Type="http://schemas.openxmlformats.org/officeDocument/2006/relationships/hyperlink" Target="https://github.com/ahmaddev27/TAQATSPACE/issues/227" TargetMode="External" Id="rId42"/><Relationship Type="http://schemas.openxmlformats.org/officeDocument/2006/relationships/hyperlink" Target="https://github.com/ahmaddev27/TAQATSPACE/issues/228" TargetMode="External" Id="rId43"/><Relationship Type="http://schemas.openxmlformats.org/officeDocument/2006/relationships/hyperlink" Target="https://github.com/ahmaddev27/TAQATSPACE/issues/229" TargetMode="External" Id="rId44"/><Relationship Type="http://schemas.openxmlformats.org/officeDocument/2006/relationships/hyperlink" Target="https://github.com/ahmaddev27/TAQATSPACE/issues/230" TargetMode="External" Id="rId45"/><Relationship Type="http://schemas.openxmlformats.org/officeDocument/2006/relationships/hyperlink" Target="https://github.com/ahmaddev27/TAQATSPACE/issues/231" TargetMode="External" Id="rId46"/><Relationship Type="http://schemas.openxmlformats.org/officeDocument/2006/relationships/hyperlink" Target="https://github.com/ahmaddev27/TAQATSPACE/issues/232" TargetMode="External" Id="rId47"/><Relationship Type="http://schemas.openxmlformats.org/officeDocument/2006/relationships/hyperlink" Target="https://github.com/ahmaddev27/TAQATSPACE/issues/233" TargetMode="External" Id="rId48"/><Relationship Type="http://schemas.openxmlformats.org/officeDocument/2006/relationships/hyperlink" Target="https://github.com/ahmaddev27/TAQATSPACE/issues/234" TargetMode="External" Id="rId49"/><Relationship Type="http://schemas.openxmlformats.org/officeDocument/2006/relationships/hyperlink" Target="https://github.com/ahmaddev27/TAQATSPACE/issues/235" TargetMode="External" Id="rId50"/><Relationship Type="http://schemas.openxmlformats.org/officeDocument/2006/relationships/hyperlink" Target="https://github.com/ahmaddev27/TAQATSPACE/issues/236" TargetMode="External" Id="rId51"/><Relationship Type="http://schemas.openxmlformats.org/officeDocument/2006/relationships/hyperlink" Target="https://github.com/ahmaddev27/TAQATSPACE/issues/237" TargetMode="External" Id="rId52"/><Relationship Type="http://schemas.openxmlformats.org/officeDocument/2006/relationships/hyperlink" Target="https://github.com/ahmaddev27/TAQATSPACE/issues/238" TargetMode="External" Id="rId53"/><Relationship Type="http://schemas.openxmlformats.org/officeDocument/2006/relationships/hyperlink" Target="https://github.com/ahmaddev27/TAQATSPACE/issues/239" TargetMode="External" Id="rId54"/><Relationship Type="http://schemas.openxmlformats.org/officeDocument/2006/relationships/hyperlink" Target="https://github.com/ahmaddev27/TAQATSPACE/issues/240" TargetMode="External" Id="rId55"/><Relationship Type="http://schemas.openxmlformats.org/officeDocument/2006/relationships/hyperlink" Target="https://github.com/ahmaddev27/TAQATSPACE/issues/241" TargetMode="External" Id="rId56"/><Relationship Type="http://schemas.openxmlformats.org/officeDocument/2006/relationships/hyperlink" Target="https://github.com/ahmaddev27/TAQATSPACE/issues/242" TargetMode="External" Id="rId57"/><Relationship Type="http://schemas.openxmlformats.org/officeDocument/2006/relationships/hyperlink" Target="https://github.com/ahmaddev27/TAQATSPACE/issues/243" TargetMode="External" Id="rId58"/><Relationship Type="http://schemas.openxmlformats.org/officeDocument/2006/relationships/hyperlink" Target="https://github.com/ahmaddev27/TAQATSPACE/issues/244" TargetMode="External" Id="rId59"/><Relationship Type="http://schemas.openxmlformats.org/officeDocument/2006/relationships/hyperlink" Target="https://github.com/ahmaddev27/TAQATSPACE/issues/245" TargetMode="External" Id="rId60"/><Relationship Type="http://schemas.openxmlformats.org/officeDocument/2006/relationships/hyperlink" Target="https://github.com/ahmaddev27/TAQATSPACE/issues/246" TargetMode="External" Id="rId61"/><Relationship Type="http://schemas.openxmlformats.org/officeDocument/2006/relationships/hyperlink" Target="https://github.com/ahmaddev27/TAQATSPACE/issues/247" TargetMode="External" Id="rId62"/><Relationship Type="http://schemas.openxmlformats.org/officeDocument/2006/relationships/hyperlink" Target="https://github.com/ahmaddev27/TAQATSPACE/issues/248" TargetMode="External" Id="rId63"/><Relationship Type="http://schemas.openxmlformats.org/officeDocument/2006/relationships/hyperlink" Target="https://github.com/ahmaddev27/TAQATSPACE/issues/249" TargetMode="External" Id="rId64"/><Relationship Type="http://schemas.openxmlformats.org/officeDocument/2006/relationships/hyperlink" Target="https://github.com/ahmaddev27/TAQATSPACE/issues/250" TargetMode="External" Id="rId65"/><Relationship Type="http://schemas.openxmlformats.org/officeDocument/2006/relationships/hyperlink" Target="https://github.com/ahmaddev27/TAQATSPACE/issues/251" TargetMode="External" Id="rId66"/><Relationship Type="http://schemas.openxmlformats.org/officeDocument/2006/relationships/hyperlink" Target="https://github.com/ahmaddev27/TAQATSPACE/issues/252" TargetMode="External" Id="rId67"/><Relationship Type="http://schemas.openxmlformats.org/officeDocument/2006/relationships/hyperlink" Target="https://github.com/ahmaddev27/TAQATSPACE/issues/253" TargetMode="External" Id="rId68"/><Relationship Type="http://schemas.openxmlformats.org/officeDocument/2006/relationships/hyperlink" Target="https://github.com/ahmaddev27/TAQATSPACE/issues/254" TargetMode="External" Id="rId69"/><Relationship Type="http://schemas.openxmlformats.org/officeDocument/2006/relationships/hyperlink" Target="https://github.com/ahmaddev27/TAQATSPACE/issues/255" TargetMode="External" Id="rId70"/><Relationship Type="http://schemas.openxmlformats.org/officeDocument/2006/relationships/hyperlink" Target="https://github.com/ahmaddev27/TAQATSPACE/issues/256" TargetMode="External" Id="rId71"/><Relationship Type="http://schemas.openxmlformats.org/officeDocument/2006/relationships/hyperlink" Target="https://github.com/ahmaddev27/TAQATSPACE/issues/257" TargetMode="External" Id="rId72"/><Relationship Type="http://schemas.openxmlformats.org/officeDocument/2006/relationships/hyperlink" Target="https://github.com/ahmaddev27/TAQATSPACE/issues/258" TargetMode="External" Id="rId73"/><Relationship Type="http://schemas.openxmlformats.org/officeDocument/2006/relationships/hyperlink" Target="https://github.com/ahmaddev27/TAQATSPACE/issues/259" TargetMode="External" Id="rId74"/><Relationship Type="http://schemas.openxmlformats.org/officeDocument/2006/relationships/hyperlink" Target="https://github.com/ahmaddev27/TAQATSPACE/issues/260" TargetMode="External" Id="rId75"/><Relationship Type="http://schemas.openxmlformats.org/officeDocument/2006/relationships/hyperlink" Target="https://github.com/ahmaddev27/TAQATSPACE/issues/261" TargetMode="External" Id="rId76"/><Relationship Type="http://schemas.openxmlformats.org/officeDocument/2006/relationships/hyperlink" Target="https://github.com/ahmaddev27/TAQATSPACE/issues/262" TargetMode="External" Id="rId77"/><Relationship Type="http://schemas.openxmlformats.org/officeDocument/2006/relationships/hyperlink" Target="https://github.com/ahmaddev27/TAQATSPACE/issues/263" TargetMode="External" Id="rId78"/><Relationship Type="http://schemas.openxmlformats.org/officeDocument/2006/relationships/hyperlink" Target="https://github.com/ahmaddev27/TAQATSPACE/issues/264" TargetMode="External" Id="rId79"/><Relationship Type="http://schemas.openxmlformats.org/officeDocument/2006/relationships/hyperlink" Target="https://github.com/ahmaddev27/TAQATSPACE/issues/265" TargetMode="External" Id="rId80"/><Relationship Type="http://schemas.openxmlformats.org/officeDocument/2006/relationships/hyperlink" Target="https://github.com/ahmaddev27/TAQATSPACE/issues/266" TargetMode="External" Id="rId81"/><Relationship Type="http://schemas.openxmlformats.org/officeDocument/2006/relationships/hyperlink" Target="https://github.com/ahmaddev27/TAQATSPACE/issues/267" TargetMode="External" Id="rId82"/><Relationship Type="http://schemas.openxmlformats.org/officeDocument/2006/relationships/hyperlink" Target="https://github.com/ahmaddev27/TAQATSPACE/issues/268" TargetMode="External" Id="rId83"/><Relationship Type="http://schemas.openxmlformats.org/officeDocument/2006/relationships/hyperlink" Target="https://github.com/ahmaddev27/TAQATSPACE/issues/269" TargetMode="External" Id="rId84"/><Relationship Type="http://schemas.openxmlformats.org/officeDocument/2006/relationships/hyperlink" Target="https://github.com/ahmaddev27/TAQATSPACE/issues/270" TargetMode="External" Id="rId85"/><Relationship Type="http://schemas.openxmlformats.org/officeDocument/2006/relationships/hyperlink" Target="https://github.com/ahmaddev27/TAQATSPACE/issues/271" TargetMode="External" Id="rId86"/><Relationship Type="http://schemas.openxmlformats.org/officeDocument/2006/relationships/hyperlink" Target="https://github.com/ahmaddev27/TAQATSPACE/issues/272" TargetMode="External" Id="rId87"/><Relationship Type="http://schemas.openxmlformats.org/officeDocument/2006/relationships/hyperlink" Target="https://github.com/ahmaddev27/TAQATSPACE/issues/273" TargetMode="External" Id="rId88"/><Relationship Type="http://schemas.openxmlformats.org/officeDocument/2006/relationships/hyperlink" Target="https://github.com/ahmaddev27/TAQATSPACE/issues/274" TargetMode="External" Id="rId89"/><Relationship Type="http://schemas.openxmlformats.org/officeDocument/2006/relationships/hyperlink" Target="https://github.com/ahmaddev27/TAQATSPACE/issues/275" TargetMode="External" Id="rId90"/><Relationship Type="http://schemas.openxmlformats.org/officeDocument/2006/relationships/hyperlink" Target="https://github.com/ahmaddev27/TAQATSPACE/issues/276" TargetMode="External" Id="rId91"/><Relationship Type="http://schemas.openxmlformats.org/officeDocument/2006/relationships/hyperlink" Target="https://github.com/ahmaddev27/TAQATSPACE/issues/277" TargetMode="External" Id="rId92"/><Relationship Type="http://schemas.openxmlformats.org/officeDocument/2006/relationships/hyperlink" Target="https://github.com/ahmaddev27/TAQATSPACE/issues/278" TargetMode="External" Id="rId93"/><Relationship Type="http://schemas.openxmlformats.org/officeDocument/2006/relationships/hyperlink" Target="https://github.com/ahmaddev27/TAQATSPACE/issues/279" TargetMode="External" Id="rId94"/><Relationship Type="http://schemas.openxmlformats.org/officeDocument/2006/relationships/hyperlink" Target="https://github.com/ahmaddev27/TAQATSPACE/issues/280" TargetMode="External" Id="rId95"/><Relationship Type="http://schemas.openxmlformats.org/officeDocument/2006/relationships/hyperlink" Target="https://github.com/ahmaddev27/TAQATSPACE/issues/281" TargetMode="External" Id="rId96"/><Relationship Type="http://schemas.openxmlformats.org/officeDocument/2006/relationships/hyperlink" Target="https://github.com/ahmaddev27/TAQATSPACE/issues/282" TargetMode="External" Id="rId97"/><Relationship Type="http://schemas.openxmlformats.org/officeDocument/2006/relationships/hyperlink" Target="https://github.com/ahmaddev27/TAQATSPACE/issues/283" TargetMode="External" Id="rId98"/><Relationship Type="http://schemas.openxmlformats.org/officeDocument/2006/relationships/hyperlink" Target="https://github.com/ahmaddev27/TAQATSPACE/issues/284" TargetMode="External" Id="rId99"/><Relationship Type="http://schemas.openxmlformats.org/officeDocument/2006/relationships/hyperlink" Target="https://github.com/ahmaddev27/TAQATSPACE/issues/285" TargetMode="External" Id="rId100"/><Relationship Type="http://schemas.openxmlformats.org/officeDocument/2006/relationships/hyperlink" Target="https://github.com/ahmaddev27/TAQATSPACE/issues/286" TargetMode="External" Id="rId101"/><Relationship Type="http://schemas.openxmlformats.org/officeDocument/2006/relationships/hyperlink" Target="https://github.com/ahmaddev27/TAQATSPACE/issues/287" TargetMode="External" Id="rId102"/><Relationship Type="http://schemas.openxmlformats.org/officeDocument/2006/relationships/hyperlink" Target="https://github.com/ahmaddev27/TAQATSPACE/issues/288" TargetMode="External" Id="rId103"/><Relationship Type="http://schemas.openxmlformats.org/officeDocument/2006/relationships/hyperlink" Target="https://github.com/ahmaddev27/TAQATSPACE/issues/289" TargetMode="External" Id="rId104"/><Relationship Type="http://schemas.openxmlformats.org/officeDocument/2006/relationships/hyperlink" Target="https://github.com/ahmaddev27/TAQATSPACE/issues/290" TargetMode="External" Id="rId105"/><Relationship Type="http://schemas.openxmlformats.org/officeDocument/2006/relationships/hyperlink" Target="https://github.com/ahmaddev27/TAQATSPACE/issues/291" TargetMode="External" Id="rId106"/><Relationship Type="http://schemas.openxmlformats.org/officeDocument/2006/relationships/hyperlink" Target="https://github.com/ahmaddev27/TAQATSPACE/issues/292" TargetMode="External" Id="rId107"/><Relationship Type="http://schemas.openxmlformats.org/officeDocument/2006/relationships/hyperlink" Target="https://github.com/ahmaddev27/TAQATSPACE/issues/293" TargetMode="External" Id="rId108"/><Relationship Type="http://schemas.openxmlformats.org/officeDocument/2006/relationships/hyperlink" Target="https://github.com/ahmaddev27/TAQATSPACE/issues/294" TargetMode="External" Id="rId109"/><Relationship Type="http://schemas.openxmlformats.org/officeDocument/2006/relationships/hyperlink" Target="https://github.com/ahmaddev27/TAQATSPACE/issues/295" TargetMode="External" Id="rId110"/><Relationship Type="http://schemas.openxmlformats.org/officeDocument/2006/relationships/hyperlink" Target="https://github.com/ahmaddev27/TAQATSPACE/issues/296" TargetMode="External" Id="rId111"/><Relationship Type="http://schemas.openxmlformats.org/officeDocument/2006/relationships/hyperlink" Target="https://github.com/ahmaddev27/TAQATSPACE/issues/297" TargetMode="External" Id="rId112"/><Relationship Type="http://schemas.openxmlformats.org/officeDocument/2006/relationships/hyperlink" Target="https://github.com/ahmaddev27/TAQATSPACE/issues/298" TargetMode="External" Id="rId113"/><Relationship Type="http://schemas.openxmlformats.org/officeDocument/2006/relationships/hyperlink" Target="https://github.com/ahmaddev27/TAQATSPACE/issues/299" TargetMode="External" Id="rId114"/><Relationship Type="http://schemas.openxmlformats.org/officeDocument/2006/relationships/hyperlink" Target="https://github.com/ahmaddev27/TAQATSPACE/issues/300" TargetMode="External" Id="rId115"/><Relationship Type="http://schemas.openxmlformats.org/officeDocument/2006/relationships/hyperlink" Target="https://github.com/ahmaddev27/TAQATSPACE/issues/301" TargetMode="External" Id="rId116"/><Relationship Type="http://schemas.openxmlformats.org/officeDocument/2006/relationships/hyperlink" Target="https://github.com/ahmaddev27/TAQATSPACE/issues/302" TargetMode="External" Id="rId117"/><Relationship Type="http://schemas.openxmlformats.org/officeDocument/2006/relationships/hyperlink" Target="https://github.com/ahmaddev27/TAQATSPACE/issues/303" TargetMode="External" Id="rId118"/><Relationship Type="http://schemas.openxmlformats.org/officeDocument/2006/relationships/hyperlink" Target="https://github.com/ahmaddev27/TAQATSPACE/issues/304" TargetMode="External" Id="rId119"/><Relationship Type="http://schemas.openxmlformats.org/officeDocument/2006/relationships/hyperlink" Target="https://github.com/ahmaddev27/TAQATSPACE/issues/305" TargetMode="External" Id="rId120"/><Relationship Type="http://schemas.openxmlformats.org/officeDocument/2006/relationships/hyperlink" Target="https://github.com/ahmaddev27/TAQATSPACE/issues/306" TargetMode="External" Id="rId121"/><Relationship Type="http://schemas.openxmlformats.org/officeDocument/2006/relationships/hyperlink" Target="https://github.com/ahmaddev27/TAQATSPACE/issues/307" TargetMode="External" Id="rId122"/><Relationship Type="http://schemas.openxmlformats.org/officeDocument/2006/relationships/hyperlink" Target="https://github.com/ahmaddev27/TAQATSPACE/issues/308" TargetMode="External" Id="rId123"/><Relationship Type="http://schemas.openxmlformats.org/officeDocument/2006/relationships/hyperlink" Target="https://github.com/ahmaddev27/TAQATSPACE/issues/309" TargetMode="External" Id="rId124"/><Relationship Type="http://schemas.openxmlformats.org/officeDocument/2006/relationships/hyperlink" Target="https://github.com/ahmaddev27/TAQATSPACE/issues/310" TargetMode="External" Id="rId125"/><Relationship Type="http://schemas.openxmlformats.org/officeDocument/2006/relationships/hyperlink" Target="https://github.com/ahmaddev27/TAQATSPACE/issues/311" TargetMode="External" Id="rId126"/><Relationship Type="http://schemas.openxmlformats.org/officeDocument/2006/relationships/hyperlink" Target="https://github.com/ahmaddev27/TAQATSPACE/issues/312" TargetMode="External" Id="rId127"/><Relationship Type="http://schemas.openxmlformats.org/officeDocument/2006/relationships/hyperlink" Target="https://github.com/ahmaddev27/TAQATSPACE/issues/313" TargetMode="External" Id="rId128"/><Relationship Type="http://schemas.openxmlformats.org/officeDocument/2006/relationships/hyperlink" Target="https://github.com/ahmaddev27/TAQATSPACE/issues/314" TargetMode="External" Id="rId129"/><Relationship Type="http://schemas.openxmlformats.org/officeDocument/2006/relationships/hyperlink" Target="https://github.com/ahmaddev27/TAQATSPACE/issues/315" TargetMode="External" Id="rId130"/><Relationship Type="http://schemas.openxmlformats.org/officeDocument/2006/relationships/hyperlink" Target="https://github.com/ahmaddev27/TAQATSPACE/issues/316" TargetMode="External" Id="rId131"/><Relationship Type="http://schemas.openxmlformats.org/officeDocument/2006/relationships/hyperlink" Target="https://github.com/ahmaddev27/TAQATSPACE/issues/317" TargetMode="External" Id="rId132"/><Relationship Type="http://schemas.openxmlformats.org/officeDocument/2006/relationships/hyperlink" Target="https://github.com/ahmaddev27/TAQATSPACE/issues/318" TargetMode="External" Id="rId133"/><Relationship Type="http://schemas.openxmlformats.org/officeDocument/2006/relationships/hyperlink" Target="https://github.com/ahmaddev27/TAQATSPACE/issues/319" TargetMode="External" Id="rId134"/><Relationship Type="http://schemas.openxmlformats.org/officeDocument/2006/relationships/hyperlink" Target="https://github.com/ahmaddev27/TAQATSPACE/issues/320" TargetMode="External" Id="rId135"/><Relationship Type="http://schemas.openxmlformats.org/officeDocument/2006/relationships/hyperlink" Target="https://github.com/ahmaddev27/TAQATSPACE/issues/321" TargetMode="External" Id="rId136"/><Relationship Type="http://schemas.openxmlformats.org/officeDocument/2006/relationships/hyperlink" Target="https://github.com/ahmaddev27/TAQATSPACE/issues/322" TargetMode="External" Id="rId137"/><Relationship Type="http://schemas.openxmlformats.org/officeDocument/2006/relationships/hyperlink" Target="https://github.com/ahmaddev27/TAQATSPACE/issues/323" TargetMode="External" Id="rId138"/><Relationship Type="http://schemas.openxmlformats.org/officeDocument/2006/relationships/hyperlink" Target="https://github.com/ahmaddev27/TAQATSPACE/issues/324" TargetMode="External" Id="rId139"/><Relationship Type="http://schemas.openxmlformats.org/officeDocument/2006/relationships/hyperlink" Target="https://github.com/ahmaddev27/TAQATSPACE/issues/325" TargetMode="External" Id="rId140"/><Relationship Type="http://schemas.openxmlformats.org/officeDocument/2006/relationships/hyperlink" Target="https://github.com/ahmaddev27/TAQATSPACE/issues/326" TargetMode="External" Id="rId141"/><Relationship Type="http://schemas.openxmlformats.org/officeDocument/2006/relationships/hyperlink" Target="https://github.com/ahmaddev27/TAQATSPACE/issues/327" TargetMode="External" Id="rId142"/><Relationship Type="http://schemas.openxmlformats.org/officeDocument/2006/relationships/hyperlink" Target="https://github.com/ahmaddev27/TAQATSPACE/issues/328" TargetMode="External" Id="rId143"/><Relationship Type="http://schemas.openxmlformats.org/officeDocument/2006/relationships/hyperlink" Target="https://github.com/ahmaddev27/TAQATSPACE/issues/329" TargetMode="External" Id="rId144"/><Relationship Type="http://schemas.openxmlformats.org/officeDocument/2006/relationships/hyperlink" Target="https://github.com/ahmaddev27/TAQATSPACE/issues/330" TargetMode="External" Id="rId145"/><Relationship Type="http://schemas.openxmlformats.org/officeDocument/2006/relationships/hyperlink" Target="https://github.com/ahmaddev27/TAQATSPACE/issues/331" TargetMode="External" Id="rId146"/><Relationship Type="http://schemas.openxmlformats.org/officeDocument/2006/relationships/hyperlink" Target="https://github.com/ahmaddev27/TAQATSPACE/issues/332" TargetMode="External" Id="rId147"/><Relationship Type="http://schemas.openxmlformats.org/officeDocument/2006/relationships/hyperlink" Target="https://github.com/ahmaddev27/TAQATSPACE/issues/333" TargetMode="External" Id="rId148"/><Relationship Type="http://schemas.openxmlformats.org/officeDocument/2006/relationships/hyperlink" Target="https://github.com/ahmaddev27/TAQATSPACE/issues/334" TargetMode="External" Id="rId149"/><Relationship Type="http://schemas.openxmlformats.org/officeDocument/2006/relationships/hyperlink" Target="https://github.com/ahmaddev27/TAQATSPACE/issues/335" TargetMode="External" Id="rId150"/><Relationship Type="http://schemas.openxmlformats.org/officeDocument/2006/relationships/hyperlink" Target="https://github.com/ahmaddev27/TAQATSPACE/issues/336" TargetMode="External" Id="rId151"/><Relationship Type="http://schemas.openxmlformats.org/officeDocument/2006/relationships/hyperlink" Target="https://github.com/ahmaddev27/TAQATSPACE/issues/337" TargetMode="External" Id="rId152"/><Relationship Type="http://schemas.openxmlformats.org/officeDocument/2006/relationships/hyperlink" Target="https://github.com/ahmaddev27/TAQATSPACE/issues/338" TargetMode="External" Id="rId153"/><Relationship Type="http://schemas.openxmlformats.org/officeDocument/2006/relationships/hyperlink" Target="https://github.com/ahmaddev27/TAQATSPACE/issues/339" TargetMode="External" Id="rId154"/><Relationship Type="http://schemas.openxmlformats.org/officeDocument/2006/relationships/hyperlink" Target="https://github.com/ahmaddev27/TAQATSPACE/issues/340" TargetMode="External" Id="rId155"/><Relationship Type="http://schemas.openxmlformats.org/officeDocument/2006/relationships/hyperlink" Target="https://github.com/ahmaddev27/TAQATSPACE/issues/341" TargetMode="External" Id="rId156"/><Relationship Type="http://schemas.openxmlformats.org/officeDocument/2006/relationships/hyperlink" Target="https://github.com/ahmaddev27/TAQATSPACE/issues/342" TargetMode="External" Id="rId157"/><Relationship Type="http://schemas.openxmlformats.org/officeDocument/2006/relationships/hyperlink" Target="https://github.com/ahmaddev27/TAQATSPACE/issues/343" TargetMode="External" Id="rId158"/><Relationship Type="http://schemas.openxmlformats.org/officeDocument/2006/relationships/hyperlink" Target="https://github.com/ahmaddev27/TAQATSPACE/issues/344" TargetMode="External" Id="rId159"/><Relationship Type="http://schemas.openxmlformats.org/officeDocument/2006/relationships/hyperlink" Target="https://github.com/ahmaddev27/TAQATSPACE/issues/345" TargetMode="External" Id="rId160"/><Relationship Type="http://schemas.openxmlformats.org/officeDocument/2006/relationships/hyperlink" Target="https://github.com/ahmaddev27/TAQATSPACE/issues/346" TargetMode="External" Id="rId161"/><Relationship Type="http://schemas.openxmlformats.org/officeDocument/2006/relationships/hyperlink" Target="https://github.com/ahmaddev27/TAQATSPACE/issues/347" TargetMode="External" Id="rId162"/><Relationship Type="http://schemas.openxmlformats.org/officeDocument/2006/relationships/hyperlink" Target="https://github.com/ahmaddev27/TAQATSPACE/issues/348" TargetMode="External" Id="rId163"/><Relationship Type="http://schemas.openxmlformats.org/officeDocument/2006/relationships/hyperlink" Target="https://github.com/ahmaddev27/TAQATSPACE/issues/349" TargetMode="External" Id="rId164"/></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TaqatSpace — Milestone Sheet (tracking copy)</t>
        </is>
      </c>
    </row>
    <row r="2">
      <c r="A2" s="2" t="inlineStr">
        <is>
          <t>Version 1.0 — 29 October 2026. Source: TaqatSpace-Milestone-Sheet.md (same data).</t>
        </is>
      </c>
    </row>
    <row r="3">
      <c r="A3" s="2" t="inlineStr">
        <is>
          <t>Live status is on GitHub (one issue per task + the "TaqatSpace Roadmap" project board); this file is the planning and effort snapshot. The Issue column opens each task.</t>
        </is>
      </c>
    </row>
    <row r="4">
      <c r="A4" s="2" t="inlineStr"/>
    </row>
    <row r="5">
      <c r="A5" s="3" t="inlineStr">
        <is>
          <t>How to use:</t>
        </is>
      </c>
    </row>
    <row r="6">
      <c r="A6" s="2" t="inlineStr">
        <is>
          <t>1) In the Tasks sheet edit only the yellow columns: Status (drop-down), Branch, PR and Notes.</t>
        </is>
      </c>
    </row>
    <row r="7">
      <c r="A7" s="2" t="inlineStr">
        <is>
          <t>2) The Summary sheet computes effort, duration and progress with formulas — do not type into it.</t>
        </is>
      </c>
    </row>
    <row r="8">
      <c r="A8" s="2" t="inlineStr">
        <is>
          <t>3) Effort is in working days for one developer + Claude; duration = effort ÷ 5 working days.</t>
        </is>
      </c>
    </row>
    <row r="9">
      <c r="A9" s="2" t="inlineStr">
        <is>
          <t>4) Deferrable = Yes means the task is outside the minimum switch-over path.</t>
        </is>
      </c>
    </row>
    <row r="10">
      <c r="A10" s="2" t="inlineStr"/>
    </row>
    <row r="11">
      <c r="A11" s="2" t="inlineStr">
        <is>
          <t>Example of a finished row: Status = "✅ Done", Branch = feat/m2-4, PR = #400.</t>
        </is>
      </c>
    </row>
    <row r="12">
      <c r="A12" s="2" t="inlineStr"/>
    </row>
    <row r="13">
      <c r="A13" s="2" t="inlineStr">
        <is>
          <t>Status key: ⬜ Todo · 🟨 In progress · ✅ Done · ⛔ Blocked</t>
        </is>
      </c>
    </row>
    <row r="14">
      <c r="A14" s="2" t="inlineStr">
        <is>
          <t>Code state key: New / Extension (builds on existing code) / Existing (wire-up/review only)</t>
        </is>
      </c>
    </row>
    <row r="15">
      <c r="A15" s="2" t="inlineStr">
        <is>
          <t>Estimates: initial ±20% estimate by the development team (2026-10-29), re-calibrated after M2.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6" customWidth="1" min="1" max="1"/>
    <col width="52" customWidth="1" min="2" max="2"/>
    <col width="14" customWidth="1" min="3" max="3"/>
    <col width="9" customWidth="1" min="4" max="4"/>
    <col width="12" customWidth="1" min="5" max="5"/>
    <col width="14" customWidth="1" min="6" max="6"/>
    <col width="18" customWidth="1" min="7" max="7"/>
    <col width="12" customWidth="1" min="8" max="8"/>
    <col width="10" customWidth="1" min="9" max="9"/>
    <col width="22" customWidth="1" min="10" max="10"/>
  </cols>
  <sheetData>
    <row r="1">
      <c r="A1" s="4" t="inlineStr">
        <is>
          <t>#</t>
        </is>
      </c>
      <c r="B1" s="4" t="inlineStr">
        <is>
          <t>Milestone</t>
        </is>
      </c>
      <c r="C1" s="4" t="inlineStr">
        <is>
          <t>Depends on</t>
        </is>
      </c>
      <c r="D1" s="4" t="inlineStr">
        <is>
          <t>Release</t>
        </is>
      </c>
      <c r="E1" s="4" t="inlineStr">
        <is>
          <t>Effort (days)</t>
        </is>
      </c>
      <c r="F1" s="4" t="inlineStr">
        <is>
          <t>Duration (weeks)</t>
        </is>
      </c>
      <c r="G1" s="4" t="inlineStr">
        <is>
          <t>Cumulative end (week)</t>
        </is>
      </c>
      <c r="H1" s="4" t="inlineStr">
        <is>
          <t>Done (days)</t>
        </is>
      </c>
      <c r="I1" s="4" t="inlineStr">
        <is>
          <t>Progress</t>
        </is>
      </c>
      <c r="J1" s="4" t="inlineStr">
        <is>
          <t>Effort without deferrable (days)</t>
        </is>
      </c>
    </row>
    <row r="2">
      <c r="A2" s="5" t="inlineStr">
        <is>
          <t>M0</t>
        </is>
      </c>
      <c r="B2" s="5" t="inlineStr">
        <is>
          <t>Stabilization, readiness and discovery</t>
        </is>
      </c>
      <c r="C2" s="5" t="inlineStr">
        <is>
          <t>—</t>
        </is>
      </c>
      <c r="D2" s="5" t="inlineStr">
        <is>
          <t>R0</t>
        </is>
      </c>
      <c r="E2" s="6">
        <f>SUMIFS(Tasks!$G$2:$G$165,Tasks!$B$2:$B$165,A2)</f>
        <v/>
      </c>
      <c r="F2" s="7">
        <f>E2/5</f>
        <v/>
      </c>
      <c r="G2" s="7">
        <f>SUM($F$2:F2)</f>
        <v/>
      </c>
      <c r="H2" s="6">
        <f>SUMIFS(Tasks!$G$2:$G$165,Tasks!$B$2:$B$165,A2,Tasks!$I$2:$I$165,"✅ Done")</f>
        <v/>
      </c>
      <c r="I2" s="8">
        <f>IFERROR(H2/E2,0)</f>
        <v/>
      </c>
      <c r="J2" s="6">
        <f>SUMIFS(Tasks!$G$2:$G$165,Tasks!$B$2:$B$165,A2,Tasks!$H$2:$H$165,"No")</f>
        <v/>
      </c>
    </row>
    <row r="3">
      <c r="A3" s="5" t="inlineStr">
        <is>
          <t>M1</t>
        </is>
      </c>
      <c r="B3" s="5" t="inlineStr">
        <is>
          <t>Foundation: tenants, identity, roles and settings</t>
        </is>
      </c>
      <c r="C3" s="5" t="inlineStr">
        <is>
          <t>M0</t>
        </is>
      </c>
      <c r="D3" s="5" t="inlineStr">
        <is>
          <t>R1</t>
        </is>
      </c>
      <c r="E3" s="6">
        <f>SUMIFS(Tasks!$G$2:$G$165,Tasks!$B$2:$B$165,A3)</f>
        <v/>
      </c>
      <c r="F3" s="7">
        <f>E3/5</f>
        <v/>
      </c>
      <c r="G3" s="7">
        <f>SUM($F$2:F3)</f>
        <v/>
      </c>
      <c r="H3" s="6">
        <f>SUMIFS(Tasks!$G$2:$G$165,Tasks!$B$2:$B$165,A3,Tasks!$I$2:$I$165,"✅ Done")</f>
        <v/>
      </c>
      <c r="I3" s="8">
        <f>IFERROR(H3/E3,0)</f>
        <v/>
      </c>
      <c r="J3" s="6">
        <f>SUMIFS(Tasks!$G$2:$G$165,Tasks!$B$2:$B$165,A3,Tasks!$H$2:$H$165,"No")</f>
        <v/>
      </c>
    </row>
    <row r="4">
      <c r="A4" s="5" t="inlineStr">
        <is>
          <t>M2</t>
        </is>
      </c>
      <c r="B4" s="5" t="inlineStr">
        <is>
          <t>MikroTik integration (PUSH model)</t>
        </is>
      </c>
      <c r="C4" s="5" t="inlineStr">
        <is>
          <t>M1 + VPS</t>
        </is>
      </c>
      <c r="D4" s="5" t="inlineStr">
        <is>
          <t>R1</t>
        </is>
      </c>
      <c r="E4" s="6">
        <f>SUMIFS(Tasks!$G$2:$G$165,Tasks!$B$2:$B$165,A4)</f>
        <v/>
      </c>
      <c r="F4" s="7">
        <f>E4/5</f>
        <v/>
      </c>
      <c r="G4" s="7">
        <f>SUM($F$2:F4)</f>
        <v/>
      </c>
      <c r="H4" s="6">
        <f>SUMIFS(Tasks!$G$2:$G$165,Tasks!$B$2:$B$165,A4,Tasks!$I$2:$I$165,"✅ Done")</f>
        <v/>
      </c>
      <c r="I4" s="8">
        <f>IFERROR(H4/E4,0)</f>
        <v/>
      </c>
      <c r="J4" s="6">
        <f>SUMIFS(Tasks!$G$2:$G$165,Tasks!$B$2:$B$165,A4,Tasks!$H$2:$H$165,"No")</f>
        <v/>
      </c>
    </row>
    <row r="5">
      <c r="A5" s="5" t="inlineStr">
        <is>
          <t>M3</t>
        </is>
      </c>
      <c r="B5" s="5" t="inlineStr">
        <is>
          <t>Data engine: attendance, statistics and alerts</t>
        </is>
      </c>
      <c r="C5" s="5" t="inlineStr">
        <is>
          <t>M2</t>
        </is>
      </c>
      <c r="D5" s="5" t="inlineStr">
        <is>
          <t>R1</t>
        </is>
      </c>
      <c r="E5" s="6">
        <f>SUMIFS(Tasks!$G$2:$G$165,Tasks!$B$2:$B$165,A5)</f>
        <v/>
      </c>
      <c r="F5" s="7">
        <f>E5/5</f>
        <v/>
      </c>
      <c r="G5" s="7">
        <f>SUM($F$2:F5)</f>
        <v/>
      </c>
      <c r="H5" s="6">
        <f>SUMIFS(Tasks!$G$2:$G$165,Tasks!$B$2:$B$165,A5,Tasks!$I$2:$I$165,"✅ Done")</f>
        <v/>
      </c>
      <c r="I5" s="8">
        <f>IFERROR(H5/E5,0)</f>
        <v/>
      </c>
      <c r="J5" s="6">
        <f>SUMIFS(Tasks!$G$2:$G$165,Tasks!$B$2:$B$165,A5,Tasks!$H$2:$H$165,"No")</f>
        <v/>
      </c>
    </row>
    <row r="6">
      <c r="A6" s="5" t="inlineStr">
        <is>
          <t>M4</t>
        </is>
      </c>
      <c r="B6" s="5" t="inlineStr">
        <is>
          <t>Workspace owner dashboard: operations and subscribers</t>
        </is>
      </c>
      <c r="C6" s="5" t="inlineStr">
        <is>
          <t>M3</t>
        </is>
      </c>
      <c r="D6" s="5" t="inlineStr">
        <is>
          <t>R2</t>
        </is>
      </c>
      <c r="E6" s="6">
        <f>SUMIFS(Tasks!$G$2:$G$165,Tasks!$B$2:$B$165,A6)</f>
        <v/>
      </c>
      <c r="F6" s="7">
        <f>E6/5</f>
        <v/>
      </c>
      <c r="G6" s="7">
        <f>SUM($F$2:F6)</f>
        <v/>
      </c>
      <c r="H6" s="6">
        <f>SUMIFS(Tasks!$G$2:$G$165,Tasks!$B$2:$B$165,A6,Tasks!$I$2:$I$165,"✅ Done")</f>
        <v/>
      </c>
      <c r="I6" s="8">
        <f>IFERROR(H6/E6,0)</f>
        <v/>
      </c>
      <c r="J6" s="6">
        <f>SUMIFS(Tasks!$G$2:$G$165,Tasks!$B$2:$B$165,A6,Tasks!$H$2:$H$165,"No")</f>
        <v/>
      </c>
    </row>
    <row r="7">
      <c r="A7" s="5" t="inlineStr">
        <is>
          <t>M5</t>
        </is>
      </c>
      <c r="B7" s="5" t="inlineStr">
        <is>
          <t>Finance v2: billing, collections and point of sale (no payment gateway)</t>
        </is>
      </c>
      <c r="C7" s="5" t="inlineStr">
        <is>
          <t>M1, M4</t>
        </is>
      </c>
      <c r="D7" s="5" t="inlineStr">
        <is>
          <t>R2</t>
        </is>
      </c>
      <c r="E7" s="6">
        <f>SUMIFS(Tasks!$G$2:$G$165,Tasks!$B$2:$B$165,A7)</f>
        <v/>
      </c>
      <c r="F7" s="7">
        <f>E7/5</f>
        <v/>
      </c>
      <c r="G7" s="7">
        <f>SUM($F$2:F7)</f>
        <v/>
      </c>
      <c r="H7" s="6">
        <f>SUMIFS(Tasks!$G$2:$G$165,Tasks!$B$2:$B$165,A7,Tasks!$I$2:$I$165,"✅ Done")</f>
        <v/>
      </c>
      <c r="I7" s="8">
        <f>IFERROR(H7/E7,0)</f>
        <v/>
      </c>
      <c r="J7" s="6">
        <f>SUMIFS(Tasks!$G$2:$G$165,Tasks!$B$2:$B$165,A7,Tasks!$H$2:$H$165,"No")</f>
        <v/>
      </c>
    </row>
    <row r="8">
      <c r="A8" s="5" t="inlineStr">
        <is>
          <t>M6</t>
        </is>
      </c>
      <c r="B8" s="5" t="inlineStr">
        <is>
          <t>GSG program, UR and month close</t>
        </is>
      </c>
      <c r="C8" s="5" t="inlineStr">
        <is>
          <t>M3, M4</t>
        </is>
      </c>
      <c r="D8" s="5" t="inlineStr">
        <is>
          <t>R3</t>
        </is>
      </c>
      <c r="E8" s="6">
        <f>SUMIFS(Tasks!$G$2:$G$165,Tasks!$B$2:$B$165,A8)</f>
        <v/>
      </c>
      <c r="F8" s="7">
        <f>E8/5</f>
        <v/>
      </c>
      <c r="G8" s="7">
        <f>SUM($F$2:F8)</f>
        <v/>
      </c>
      <c r="H8" s="6">
        <f>SUMIFS(Tasks!$G$2:$G$165,Tasks!$B$2:$B$165,A8,Tasks!$I$2:$I$165,"✅ Done")</f>
        <v/>
      </c>
      <c r="I8" s="8">
        <f>IFERROR(H8/E8,0)</f>
        <v/>
      </c>
      <c r="J8" s="6">
        <f>SUMIFS(Tasks!$G$2:$G$165,Tasks!$B$2:$B$165,A8,Tasks!$H$2:$H$165,"No")</f>
        <v/>
      </c>
    </row>
    <row r="9">
      <c r="A9" s="5" t="inlineStr">
        <is>
          <t>M7</t>
        </is>
      </c>
      <c r="B9" s="5" t="inlineStr">
        <is>
          <t>Analytics, reports and report builder</t>
        </is>
      </c>
      <c r="C9" s="5" t="inlineStr">
        <is>
          <t>M3, M6</t>
        </is>
      </c>
      <c r="D9" s="5" t="inlineStr">
        <is>
          <t>R3</t>
        </is>
      </c>
      <c r="E9" s="6">
        <f>SUMIFS(Tasks!$G$2:$G$165,Tasks!$B$2:$B$165,A9)</f>
        <v/>
      </c>
      <c r="F9" s="7">
        <f>E9/5</f>
        <v/>
      </c>
      <c r="G9" s="7">
        <f>SUM($F$2:F9)</f>
        <v/>
      </c>
      <c r="H9" s="6">
        <f>SUMIFS(Tasks!$G$2:$G$165,Tasks!$B$2:$B$165,A9,Tasks!$I$2:$I$165,"✅ Done")</f>
        <v/>
      </c>
      <c r="I9" s="8">
        <f>IFERROR(H9/E9,0)</f>
        <v/>
      </c>
      <c r="J9" s="6">
        <f>SUMIFS(Tasks!$G$2:$G$165,Tasks!$B$2:$B$165,A9,Tasks!$H$2:$H$165,"No")</f>
        <v/>
      </c>
    </row>
    <row r="10">
      <c r="A10" s="5" t="inlineStr">
        <is>
          <t>M8</t>
        </is>
      </c>
      <c r="B10" s="5" t="inlineStr">
        <is>
          <t>Super admin dashboard extension</t>
        </is>
      </c>
      <c r="C10" s="5" t="inlineStr">
        <is>
          <t>M6</t>
        </is>
      </c>
      <c r="D10" s="5" t="inlineStr">
        <is>
          <t>R3</t>
        </is>
      </c>
      <c r="E10" s="6">
        <f>SUMIFS(Tasks!$G$2:$G$165,Tasks!$B$2:$B$165,A10)</f>
        <v/>
      </c>
      <c r="F10" s="7">
        <f>E10/5</f>
        <v/>
      </c>
      <c r="G10" s="7">
        <f>SUM($F$2:F10)</f>
        <v/>
      </c>
      <c r="H10" s="6">
        <f>SUMIFS(Tasks!$G$2:$G$165,Tasks!$B$2:$B$165,A10,Tasks!$I$2:$I$165,"✅ Done")</f>
        <v/>
      </c>
      <c r="I10" s="8">
        <f>IFERROR(H10/E10,0)</f>
        <v/>
      </c>
      <c r="J10" s="6">
        <f>SUMIFS(Tasks!$G$2:$G$165,Tasks!$B$2:$B$165,A10,Tasks!$H$2:$H$165,"No")</f>
        <v/>
      </c>
    </row>
    <row r="11">
      <c r="A11" s="5" t="inlineStr">
        <is>
          <t>M9</t>
        </is>
      </c>
      <c r="B11" s="5" t="inlineStr">
        <is>
          <t>Freelancer portal extension</t>
        </is>
      </c>
      <c r="C11" s="5" t="inlineStr">
        <is>
          <t>M3, M4, M5</t>
        </is>
      </c>
      <c r="D11" s="5" t="inlineStr">
        <is>
          <t>R4</t>
        </is>
      </c>
      <c r="E11" s="6">
        <f>SUMIFS(Tasks!$G$2:$G$165,Tasks!$B$2:$B$165,A11)</f>
        <v/>
      </c>
      <c r="F11" s="7">
        <f>E11/5</f>
        <v/>
      </c>
      <c r="G11" s="7">
        <f>SUM($F$2:F11)</f>
        <v/>
      </c>
      <c r="H11" s="6">
        <f>SUMIFS(Tasks!$G$2:$G$165,Tasks!$B$2:$B$165,A11,Tasks!$I$2:$I$165,"✅ Done")</f>
        <v/>
      </c>
      <c r="I11" s="8">
        <f>IFERROR(H11/E11,0)</f>
        <v/>
      </c>
      <c r="J11" s="6">
        <f>SUMIFS(Tasks!$G$2:$G$165,Tasks!$B$2:$B$165,A11,Tasks!$H$2:$H$165,"No")</f>
        <v/>
      </c>
    </row>
    <row r="12">
      <c r="A12" s="5" t="inlineStr">
        <is>
          <t>M10</t>
        </is>
      </c>
      <c r="B12" s="5" t="inlineStr">
        <is>
          <t>Public site, site builder and guest registration</t>
        </is>
      </c>
      <c r="C12" s="5" t="inlineStr">
        <is>
          <t>M2, M9</t>
        </is>
      </c>
      <c r="D12" s="5" t="inlineStr">
        <is>
          <t>R4</t>
        </is>
      </c>
      <c r="E12" s="6">
        <f>SUMIFS(Tasks!$G$2:$G$165,Tasks!$B$2:$B$165,A12)</f>
        <v/>
      </c>
      <c r="F12" s="7">
        <f>E12/5</f>
        <v/>
      </c>
      <c r="G12" s="7">
        <f>SUM($F$2:F12)</f>
        <v/>
      </c>
      <c r="H12" s="6">
        <f>SUMIFS(Tasks!$G$2:$G$165,Tasks!$B$2:$B$165,A12,Tasks!$I$2:$I$165,"✅ Done")</f>
        <v/>
      </c>
      <c r="I12" s="8">
        <f>IFERROR(H12/E12,0)</f>
        <v/>
      </c>
      <c r="J12" s="6">
        <f>SUMIFS(Tasks!$G$2:$G$165,Tasks!$B$2:$B$165,A12,Tasks!$H$2:$H$165,"No")</f>
        <v/>
      </c>
    </row>
    <row r="13">
      <c r="A13" s="5" t="inlineStr">
        <is>
          <t>M11</t>
        </is>
      </c>
      <c r="B13" s="5" t="inlineStr">
        <is>
          <t>Cross-dashboard integration (End-to-End)</t>
        </is>
      </c>
      <c r="C13" s="5" t="inlineStr">
        <is>
          <t>M8, M9, M10</t>
        </is>
      </c>
      <c r="D13" s="5" t="inlineStr">
        <is>
          <t>R5</t>
        </is>
      </c>
      <c r="E13" s="6">
        <f>SUMIFS(Tasks!$G$2:$G$165,Tasks!$B$2:$B$165,A13)</f>
        <v/>
      </c>
      <c r="F13" s="7">
        <f>E13/5</f>
        <v/>
      </c>
      <c r="G13" s="7">
        <f>SUM($F$2:F13)</f>
        <v/>
      </c>
      <c r="H13" s="6">
        <f>SUMIFS(Tasks!$G$2:$G$165,Tasks!$B$2:$B$165,A13,Tasks!$I$2:$I$165,"✅ Done")</f>
        <v/>
      </c>
      <c r="I13" s="8">
        <f>IFERROR(H13/E13,0)</f>
        <v/>
      </c>
      <c r="J13" s="6">
        <f>SUMIFS(Tasks!$G$2:$G$165,Tasks!$B$2:$B$165,A13,Tasks!$H$2:$H$165,"No")</f>
        <v/>
      </c>
    </row>
    <row r="14">
      <c r="A14" s="5" t="inlineStr">
        <is>
          <t>M12</t>
        </is>
      </c>
      <c r="B14" s="5" t="inlineStr">
        <is>
          <t>Hardening: security, performance and localization</t>
        </is>
      </c>
      <c r="C14" s="5" t="inlineStr">
        <is>
          <t>M11</t>
        </is>
      </c>
      <c r="D14" s="5" t="inlineStr">
        <is>
          <t>R5</t>
        </is>
      </c>
      <c r="E14" s="6">
        <f>SUMIFS(Tasks!$G$2:$G$165,Tasks!$B$2:$B$165,A14)</f>
        <v/>
      </c>
      <c r="F14" s="7">
        <f>E14/5</f>
        <v/>
      </c>
      <c r="G14" s="7">
        <f>SUM($F$2:F14)</f>
        <v/>
      </c>
      <c r="H14" s="6">
        <f>SUMIFS(Tasks!$G$2:$G$165,Tasks!$B$2:$B$165,A14,Tasks!$I$2:$I$165,"✅ Done")</f>
        <v/>
      </c>
      <c r="I14" s="8">
        <f>IFERROR(H14/E14,0)</f>
        <v/>
      </c>
      <c r="J14" s="6">
        <f>SUMIFS(Tasks!$G$2:$G$165,Tasks!$B$2:$B$165,A14,Tasks!$H$2:$H$165,"No")</f>
        <v/>
      </c>
    </row>
    <row r="15">
      <c r="A15" s="5" t="inlineStr">
        <is>
          <t>M13</t>
        </is>
      </c>
      <c r="B15" s="5" t="inlineStr">
        <is>
          <t>Migration, UAT and full switch-over from CoWorkSpaces</t>
        </is>
      </c>
      <c r="C15" s="5" t="inlineStr">
        <is>
          <t>M12</t>
        </is>
      </c>
      <c r="D15" s="5" t="inlineStr">
        <is>
          <t>R5</t>
        </is>
      </c>
      <c r="E15" s="6">
        <f>SUMIFS(Tasks!$G$2:$G$165,Tasks!$B$2:$B$165,A15)</f>
        <v/>
      </c>
      <c r="F15" s="7">
        <f>E15/5</f>
        <v/>
      </c>
      <c r="G15" s="7">
        <f>SUM($F$2:F15)</f>
        <v/>
      </c>
      <c r="H15" s="6">
        <f>SUMIFS(Tasks!$G$2:$G$165,Tasks!$B$2:$B$165,A15,Tasks!$I$2:$I$165,"✅ Done")</f>
        <v/>
      </c>
      <c r="I15" s="8">
        <f>IFERROR(H15/E15,0)</f>
        <v/>
      </c>
      <c r="J15" s="6">
        <f>SUMIFS(Tasks!$G$2:$G$165,Tasks!$B$2:$B$165,A15,Tasks!$H$2:$H$165,"No")</f>
        <v/>
      </c>
    </row>
    <row r="16">
      <c r="A16" s="9" t="inlineStr"/>
      <c r="B16" s="9" t="inlineStr">
        <is>
          <t>Total</t>
        </is>
      </c>
      <c r="C16" s="9" t="inlineStr"/>
      <c r="D16" s="9" t="inlineStr"/>
      <c r="E16" s="10">
        <f>SUM(E2:E15)</f>
        <v/>
      </c>
      <c r="F16" s="11">
        <f>SUM(F2:F15)</f>
        <v/>
      </c>
      <c r="G16" s="11">
        <f>G15</f>
        <v/>
      </c>
      <c r="H16" s="10">
        <f>SUM(H2:H15)</f>
        <v/>
      </c>
      <c r="I16" s="12">
        <f>IFERROR(H16/E16,0)</f>
        <v/>
      </c>
      <c r="J16" s="10">
        <f>SUM(J2:J15)</f>
        <v/>
      </c>
    </row>
    <row r="18">
      <c r="B18" s="2" t="inlineStr">
        <is>
          <t>Duration = effort ÷ 5 working days (one developer + Claude, sequential). Initial estimate ±20% (2026-10-29).</t>
        </is>
      </c>
    </row>
    <row r="19">
      <c r="B19" s="2" t="inlineStr">
        <is>
          <t>Check: total days in Tasks</t>
        </is>
      </c>
      <c r="E19" s="2">
        <f>SUM(Tasks!$G$2:$G$165)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
  <sheetViews>
    <sheetView workbookViewId="0">
      <pane ySplit="1" topLeftCell="A2" activePane="bottomLeft" state="frozen"/>
      <selection pane="bottomLeft" activeCell="A1" sqref="A1"/>
    </sheetView>
  </sheetViews>
  <sheetFormatPr baseColWidth="8" defaultRowHeight="15"/>
  <cols>
    <col width="7" customWidth="1" min="1" max="1"/>
    <col width="9" customWidth="1" min="2" max="2"/>
    <col width="70" customWidth="1" min="3" max="3"/>
    <col width="22" customWidth="1" min="4" max="4"/>
    <col width="40" customWidth="1" min="5" max="5"/>
    <col width="9" customWidth="1" min="6" max="6"/>
    <col width="10" customWidth="1" min="7" max="7"/>
    <col width="10" customWidth="1" min="8" max="8"/>
    <col width="14" customWidth="1" min="9" max="9"/>
    <col width="14" customWidth="1" min="10" max="10"/>
    <col width="10" customWidth="1" min="11" max="11"/>
    <col width="30" customWidth="1" min="12" max="12"/>
    <col width="10" customWidth="1" min="13" max="13"/>
  </cols>
  <sheetData>
    <row r="1">
      <c r="A1" s="4" t="inlineStr">
        <is>
          <t>ID</t>
        </is>
      </c>
      <c r="B1" s="4" t="inlineStr">
        <is>
          <t>Milestone</t>
        </is>
      </c>
      <c r="C1" s="4" t="inlineStr">
        <is>
          <t>Task</t>
        </is>
      </c>
      <c r="D1" s="4" t="inlineStr">
        <is>
          <t>SRS ref</t>
        </is>
      </c>
      <c r="E1" s="4" t="inlineStr">
        <is>
          <t>Code state</t>
        </is>
      </c>
      <c r="F1" s="4" t="inlineStr">
        <is>
          <t>Type</t>
        </is>
      </c>
      <c r="G1" s="4" t="inlineStr">
        <is>
          <t>Effort (days)</t>
        </is>
      </c>
      <c r="H1" s="4" t="inlineStr">
        <is>
          <t>Deferrable</t>
        </is>
      </c>
      <c r="I1" s="4" t="inlineStr">
        <is>
          <t>Status</t>
        </is>
      </c>
      <c r="J1" s="4" t="inlineStr">
        <is>
          <t>Branch</t>
        </is>
      </c>
      <c r="K1" s="4" t="inlineStr">
        <is>
          <t>PR</t>
        </is>
      </c>
      <c r="L1" s="4" t="inlineStr">
        <is>
          <t>Notes</t>
        </is>
      </c>
      <c r="M1" s="4" t="inlineStr">
        <is>
          <t>Issue</t>
        </is>
      </c>
    </row>
    <row r="2">
      <c r="A2" s="5" t="inlineStr">
        <is>
          <t>0.1</t>
        </is>
      </c>
      <c r="B2" s="5" t="inlineStr">
        <is>
          <t>M0</t>
        </is>
      </c>
      <c r="C2" s="5" t="inlineStr">
        <is>
          <t>Release R0: PR from dev to main to ship POS/cashier (32 commits) + staging check</t>
        </is>
      </c>
      <c r="D2" s="5" t="inlineStr">
        <is>
          <t>—</t>
        </is>
      </c>
      <c r="E2" s="5" t="inlineStr">
        <is>
          <t>Extension: 32 unreleased commits on dev</t>
        </is>
      </c>
      <c r="F2" s="5" t="inlineStr">
        <is>
          <t>Ops</t>
        </is>
      </c>
      <c r="G2" s="6" t="n">
        <v>0.5</v>
      </c>
      <c r="H2" s="5" t="inlineStr">
        <is>
          <t>No</t>
        </is>
      </c>
      <c r="I2" s="13" t="inlineStr">
        <is>
          <t>⬜ Todo</t>
        </is>
      </c>
      <c r="J2" s="13" t="inlineStr">
        <is>
          <t>chore/m0-1</t>
        </is>
      </c>
      <c r="K2" s="13" t="inlineStr"/>
      <c r="L2" s="13" t="inlineStr"/>
      <c r="M2" s="14" t="inlineStr">
        <is>
          <t>#186</t>
        </is>
      </c>
    </row>
    <row r="3">
      <c r="A3" s="5" t="inlineStr">
        <is>
          <t>0.2</t>
        </is>
      </c>
      <c r="B3" s="5" t="inlineStr">
        <is>
          <t>M0</t>
        </is>
      </c>
      <c r="C3" s="5" t="inlineStr">
        <is>
          <t>Remove the unprotected ops/clear-cache-9f3a2c route</t>
        </is>
      </c>
      <c r="D3" s="5" t="inlineStr">
        <is>
          <t>NFR-SEC</t>
        </is>
      </c>
      <c r="E3" s="5" t="inlineStr">
        <is>
          <t>Extension: backend/routes/web.php</t>
        </is>
      </c>
      <c r="F3" s="5" t="inlineStr">
        <is>
          <t>BE</t>
        </is>
      </c>
      <c r="G3" s="6" t="n">
        <v>0.25</v>
      </c>
      <c r="H3" s="5" t="inlineStr">
        <is>
          <t>No</t>
        </is>
      </c>
      <c r="I3" s="13" t="inlineStr">
        <is>
          <t>⬜ Todo</t>
        </is>
      </c>
      <c r="J3" s="13" t="inlineStr">
        <is>
          <t>chore/m0-2</t>
        </is>
      </c>
      <c r="K3" s="13" t="inlineStr"/>
      <c r="L3" s="13" t="inlineStr"/>
      <c r="M3" s="14" t="inlineStr">
        <is>
          <t>#187</t>
        </is>
      </c>
    </row>
    <row r="4">
      <c r="A4" s="5" t="inlineStr">
        <is>
          <t>0.3</t>
        </is>
      </c>
      <c r="B4" s="5" t="inlineStr">
        <is>
          <t>M0</t>
        </is>
      </c>
      <c r="C4" s="5" t="inlineStr">
        <is>
          <t>Rotate the exposed secrets (DB, AWS, Firebase, SSO) and move them to GitHub Secrets and the server .env only</t>
        </is>
      </c>
      <c r="D4" s="5" t="inlineStr">
        <is>
          <t>NFR-SEC</t>
        </is>
      </c>
      <c r="E4" s="5" t="inlineStr">
        <is>
          <t>New</t>
        </is>
      </c>
      <c r="F4" s="5" t="inlineStr">
        <is>
          <t>Ops</t>
        </is>
      </c>
      <c r="G4" s="6" t="n">
        <v>0.5</v>
      </c>
      <c r="H4" s="5" t="inlineStr">
        <is>
          <t>No</t>
        </is>
      </c>
      <c r="I4" s="13" t="inlineStr">
        <is>
          <t>⬜ Todo</t>
        </is>
      </c>
      <c r="J4" s="13" t="inlineStr">
        <is>
          <t>chore/m0-3</t>
        </is>
      </c>
      <c r="K4" s="13" t="inlineStr"/>
      <c r="L4" s="13" t="inlineStr"/>
      <c r="M4" s="14" t="inlineStr">
        <is>
          <t>#188</t>
        </is>
      </c>
    </row>
    <row r="5">
      <c r="A5" s="5" t="inlineStr">
        <is>
          <t>0.4</t>
        </is>
      </c>
      <c r="B5" s="5" t="inlineStr">
        <is>
          <t>M0</t>
        </is>
      </c>
      <c r="C5" s="5" t="inlineStr">
        <is>
          <t>Scheduled command subscriptions:expire (nothing moves a subscription to expired today) based on the end date only — grace days are added in 4.7 + test</t>
        </is>
      </c>
      <c r="D5" s="5" t="inlineStr">
        <is>
          <t>FR-MEM-03</t>
        </is>
      </c>
      <c r="E5" s="5" t="inlineStr">
        <is>
          <t>Extension: backend/routes/console.php</t>
        </is>
      </c>
      <c r="F5" s="5" t="inlineStr">
        <is>
          <t>BE</t>
        </is>
      </c>
      <c r="G5" s="6" t="n">
        <v>0.5</v>
      </c>
      <c r="H5" s="5" t="inlineStr">
        <is>
          <t>No</t>
        </is>
      </c>
      <c r="I5" s="13" t="inlineStr">
        <is>
          <t>⬜ Todo</t>
        </is>
      </c>
      <c r="J5" s="13" t="inlineStr">
        <is>
          <t>chore/m0-4</t>
        </is>
      </c>
      <c r="K5" s="13" t="inlineStr"/>
      <c r="L5" s="13" t="inlineStr"/>
      <c r="M5" s="14" t="inlineStr">
        <is>
          <t>#189</t>
        </is>
      </c>
    </row>
    <row r="6">
      <c r="A6" s="5" t="inlineStr">
        <is>
          <t>0.5</t>
        </is>
      </c>
      <c r="B6" s="5" t="inlineStr">
        <is>
          <t>M0</t>
        </is>
      </c>
      <c r="C6" s="5" t="inlineStr">
        <is>
          <t>Provision the VPS: Nginx, PHP 8.3-FPM, MySQL 8, Redis 7, Supervisor (ingest/default/heavy queues), Certbot, nightly backup to S3</t>
        </is>
      </c>
      <c r="D6" s="5" t="inlineStr">
        <is>
          <t>NFR-PERF</t>
        </is>
      </c>
      <c r="E6" s="5" t="inlineStr">
        <is>
          <t>New (current host is shared cPanel with no persistent worker)</t>
        </is>
      </c>
      <c r="F6" s="5" t="inlineStr">
        <is>
          <t>Ops</t>
        </is>
      </c>
      <c r="G6" s="6" t="n">
        <v>1.5</v>
      </c>
      <c r="H6" s="5" t="inlineStr">
        <is>
          <t>No</t>
        </is>
      </c>
      <c r="I6" s="13" t="inlineStr">
        <is>
          <t>⬜ Todo</t>
        </is>
      </c>
      <c r="J6" s="13" t="inlineStr">
        <is>
          <t>chore/m0-5</t>
        </is>
      </c>
      <c r="K6" s="13" t="inlineStr"/>
      <c r="L6" s="13" t="inlineStr"/>
      <c r="M6" s="14" t="inlineStr">
        <is>
          <t>#190</t>
        </is>
      </c>
    </row>
    <row r="7">
      <c r="A7" s="5" t="inlineStr">
        <is>
          <t>0.6</t>
        </is>
      </c>
      <c r="B7" s="5" t="inlineStr">
        <is>
          <t>M0</t>
        </is>
      </c>
      <c r="C7" s="5" t="inlineStr">
        <is>
          <t>Fixed domain sync.taqat.space + switch GitHub Actions to deploy to the VPS (staging, then production) + systemd for Next.js</t>
        </is>
      </c>
      <c r="D7" s="5" t="inlineStr">
        <is>
          <t>NFR-PERF</t>
        </is>
      </c>
      <c r="E7" s="5" t="inlineStr">
        <is>
          <t>Extension: .github/workflows/deploy-staging.yml</t>
        </is>
      </c>
      <c r="F7" s="5" t="inlineStr">
        <is>
          <t>Ops</t>
        </is>
      </c>
      <c r="G7" s="6" t="n">
        <v>0.75</v>
      </c>
      <c r="H7" s="5" t="inlineStr">
        <is>
          <t>No</t>
        </is>
      </c>
      <c r="I7" s="13" t="inlineStr">
        <is>
          <t>⬜ Todo</t>
        </is>
      </c>
      <c r="J7" s="13" t="inlineStr">
        <is>
          <t>chore/m0-6</t>
        </is>
      </c>
      <c r="K7" s="13" t="inlineStr"/>
      <c r="L7" s="13" t="inlineStr"/>
      <c r="M7" s="14" t="inlineStr">
        <is>
          <t>#191</t>
        </is>
      </c>
    </row>
    <row r="8">
      <c r="A8" s="5" t="inlineStr">
        <is>
          <t>0.7</t>
        </is>
      </c>
      <c r="B8" s="5" t="inlineStr">
        <is>
          <t>M0</t>
        </is>
      </c>
      <c r="C8" s="5" t="inlineStr">
        <is>
          <t>Obtain Appendix A (80-screen inventory) and Appendix B (current MikroTik script from the TAQAT GAZA router) and update the sheet to v1.1</t>
        </is>
      </c>
      <c r="D8" s="5" t="inlineStr">
        <is>
          <t>—</t>
        </is>
      </c>
      <c r="E8" s="5" t="inlineStr">
        <is>
          <t>New</t>
        </is>
      </c>
      <c r="F8" s="5" t="inlineStr">
        <is>
          <t>PM</t>
        </is>
      </c>
      <c r="G8" s="6" t="n">
        <v>0.5</v>
      </c>
      <c r="H8" s="5" t="inlineStr">
        <is>
          <t>No</t>
        </is>
      </c>
      <c r="I8" s="13" t="inlineStr">
        <is>
          <t>⬜ Todo</t>
        </is>
      </c>
      <c r="J8" s="13" t="inlineStr">
        <is>
          <t>chore/m0-7</t>
        </is>
      </c>
      <c r="K8" s="13" t="inlineStr"/>
      <c r="L8" s="13" t="inlineStr"/>
      <c r="M8" s="14" t="inlineStr">
        <is>
          <t>#192</t>
        </is>
      </c>
    </row>
    <row r="9">
      <c r="A9" s="5" t="inlineStr">
        <is>
          <t>0.8</t>
        </is>
      </c>
      <c r="B9" s="5" t="inlineStr">
        <is>
          <t>M0</t>
        </is>
      </c>
      <c r="C9" s="5" t="inlineStr">
        <is>
          <t>Export CoWorkSpaces data (subscribers, devices, contracts, Roster, UTR/UR October 2026, reports) and document the file formats</t>
        </is>
      </c>
      <c r="D9" s="5" t="inlineStr">
        <is>
          <t>§7.3</t>
        </is>
      </c>
      <c r="E9" s="5" t="inlineStr">
        <is>
          <t>New</t>
        </is>
      </c>
      <c r="F9" s="5" t="inlineStr">
        <is>
          <t>PM</t>
        </is>
      </c>
      <c r="G9" s="6" t="n">
        <v>0.25</v>
      </c>
      <c r="H9" s="5" t="inlineStr">
        <is>
          <t>No</t>
        </is>
      </c>
      <c r="I9" s="13" t="inlineStr">
        <is>
          <t>⬜ Todo</t>
        </is>
      </c>
      <c r="J9" s="13" t="inlineStr">
        <is>
          <t>chore/m0-8</t>
        </is>
      </c>
      <c r="K9" s="13" t="inlineStr"/>
      <c r="L9" s="13" t="inlineStr"/>
      <c r="M9" s="14" t="inlineStr">
        <is>
          <t>#193</t>
        </is>
      </c>
    </row>
    <row r="10">
      <c r="A10" s="5" t="inlineStr">
        <is>
          <t>0.9</t>
        </is>
      </c>
      <c r="B10" s="5" t="inlineStr">
        <is>
          <t>M0</t>
        </is>
      </c>
      <c r="C10" s="5" t="inlineStr">
        <is>
          <t>Update README.md, archive the old DOCS/taqat_space_dev_plan.xlsx, and adopt these documents as the reference</t>
        </is>
      </c>
      <c r="D10" s="5" t="inlineStr">
        <is>
          <t>—</t>
        </is>
      </c>
      <c r="E10" s="5" t="inlineStr">
        <is>
          <t>Extension: README.md</t>
        </is>
      </c>
      <c r="F10" s="5" t="inlineStr">
        <is>
          <t>PM</t>
        </is>
      </c>
      <c r="G10" s="6" t="n">
        <v>0.25</v>
      </c>
      <c r="H10" s="5" t="inlineStr">
        <is>
          <t>No</t>
        </is>
      </c>
      <c r="I10" s="13" t="inlineStr">
        <is>
          <t>⬜ Todo</t>
        </is>
      </c>
      <c r="J10" s="13" t="inlineStr">
        <is>
          <t>chore/m0-9</t>
        </is>
      </c>
      <c r="K10" s="13" t="inlineStr"/>
      <c r="L10" s="13" t="inlineStr"/>
      <c r="M10" s="14" t="inlineStr">
        <is>
          <t>#194</t>
        </is>
      </c>
    </row>
    <row r="11">
      <c r="A11" s="5" t="inlineStr">
        <is>
          <t>0.10</t>
        </is>
      </c>
      <c r="B11" s="5" t="inlineStr">
        <is>
          <t>M0</t>
        </is>
      </c>
      <c r="C11" s="5" t="inlineStr">
        <is>
          <t>Session with the platform operator (super admin) and an actual freelancer to confirm the M8/M9 scope inferred in the SRS</t>
        </is>
      </c>
      <c r="D11" s="5" t="inlineStr">
        <is>
          <t>§5, FR-SA-01..07, FR-FL-01..05</t>
        </is>
      </c>
      <c r="E11" s="5" t="inlineStr">
        <is>
          <t>New</t>
        </is>
      </c>
      <c r="F11" s="5" t="inlineStr">
        <is>
          <t>PM</t>
        </is>
      </c>
      <c r="G11" s="6" t="n">
        <v>0.5</v>
      </c>
      <c r="H11" s="5" t="inlineStr">
        <is>
          <t>No</t>
        </is>
      </c>
      <c r="I11" s="13" t="inlineStr">
        <is>
          <t>⬜ Todo</t>
        </is>
      </c>
      <c r="J11" s="13" t="inlineStr">
        <is>
          <t>chore/m0-10</t>
        </is>
      </c>
      <c r="K11" s="13" t="inlineStr"/>
      <c r="L11" s="13" t="inlineStr"/>
      <c r="M11" s="14" t="inlineStr">
        <is>
          <t>#195</t>
        </is>
      </c>
    </row>
    <row r="12">
      <c r="A12" s="5" t="inlineStr">
        <is>
          <t>0.11</t>
        </is>
      </c>
      <c r="B12" s="5" t="inlineStr">
        <is>
          <t>M0</t>
        </is>
      </c>
      <c r="C12" s="5" t="inlineStr">
        <is>
          <t>Obtain the full UR formula specification: the 32 parameters, C levels, TypeW weights, attendance mode, the 22 checks (prerequisite for 6.4 test-first)</t>
        </is>
      </c>
      <c r="D12" s="5" t="inlineStr">
        <is>
          <t>FR-TRK-03, FR-MCL-02</t>
        </is>
      </c>
      <c r="E12" s="5" t="inlineStr">
        <is>
          <t>New</t>
        </is>
      </c>
      <c r="F12" s="5" t="inlineStr">
        <is>
          <t>PM</t>
        </is>
      </c>
      <c r="G12" s="6" t="n">
        <v>0.5</v>
      </c>
      <c r="H12" s="5" t="inlineStr">
        <is>
          <t>No</t>
        </is>
      </c>
      <c r="I12" s="13" t="inlineStr">
        <is>
          <t>⬜ Todo</t>
        </is>
      </c>
      <c r="J12" s="13" t="inlineStr">
        <is>
          <t>chore/m0-11</t>
        </is>
      </c>
      <c r="K12" s="13" t="inlineStr"/>
      <c r="L12" s="13" t="inlineStr"/>
      <c r="M12" s="14" t="inlineStr">
        <is>
          <t>#196</t>
        </is>
      </c>
    </row>
    <row r="13">
      <c r="A13" s="5" t="inlineStr">
        <is>
          <t>1.1</t>
        </is>
      </c>
      <c r="B13" s="5" t="inlineStr">
        <is>
          <t>M1</t>
        </is>
      </c>
      <c r="C13" s="5" t="inlineStr">
        <is>
          <t>Tenant identity: stable slug, unique code (base32), platform_plan, platform_status + backfill for existing workspaces</t>
        </is>
      </c>
      <c r="D13" s="5" t="inlineStr">
        <is>
          <t>§1.3, FR-SA-01, ENT-Workspace</t>
        </is>
      </c>
      <c r="E13" s="5" t="inlineStr">
        <is>
          <t>Extension: backend/app/Models/Workspace.php</t>
        </is>
      </c>
      <c r="F13" s="5" t="inlineStr">
        <is>
          <t>BE</t>
        </is>
      </c>
      <c r="G13" s="6" t="n">
        <v>0.5</v>
      </c>
      <c r="H13" s="5" t="inlineStr">
        <is>
          <t>No</t>
        </is>
      </c>
      <c r="I13" s="13" t="inlineStr">
        <is>
          <t>⬜ Todo</t>
        </is>
      </c>
      <c r="J13" s="13" t="inlineStr">
        <is>
          <t>feat/m1-1</t>
        </is>
      </c>
      <c r="K13" s="13" t="inlineStr"/>
      <c r="L13" s="13" t="inlineStr"/>
      <c r="M13" s="14" t="inlineStr">
        <is>
          <t>#197</t>
        </is>
      </c>
    </row>
    <row r="14">
      <c r="A14" s="5" t="inlineStr">
        <is>
          <t>1.2</t>
        </is>
      </c>
      <c r="B14" s="5" t="inlineStr">
        <is>
          <t>M1</t>
        </is>
      </c>
      <c r="C14" s="5" t="inlineStr">
        <is>
          <t>CurrentWorkspace middleware + BelongsToWorkspace trait (for new models) + branches table</t>
        </is>
      </c>
      <c r="D14" s="5" t="inlineStr">
        <is>
          <t>FR-STN-02, §7.2</t>
        </is>
      </c>
      <c r="E14" s="5" t="inlineStr">
        <is>
          <t>New</t>
        </is>
      </c>
      <c r="F14" s="5" t="inlineStr">
        <is>
          <t>BE</t>
        </is>
      </c>
      <c r="G14" s="6" t="n">
        <v>0.75</v>
      </c>
      <c r="H14" s="5" t="inlineStr">
        <is>
          <t>No</t>
        </is>
      </c>
      <c r="I14" s="13" t="inlineStr">
        <is>
          <t>⬜ Todo</t>
        </is>
      </c>
      <c r="J14" s="13" t="inlineStr">
        <is>
          <t>feat/m1-2</t>
        </is>
      </c>
      <c r="K14" s="13" t="inlineStr"/>
      <c r="L14" s="13" t="inlineStr"/>
      <c r="M14" s="14" t="inlineStr">
        <is>
          <t>#198</t>
        </is>
      </c>
    </row>
    <row r="15">
      <c r="A15" s="5" t="inlineStr">
        <is>
          <t>1.3</t>
        </is>
      </c>
      <c r="B15" s="5" t="inlineStr">
        <is>
          <t>M1</t>
        </is>
      </c>
      <c r="C15" s="5" t="inlineStr">
        <is>
          <t>Workspace staff: generalize the cashier into preset groups (cash desk, hospitality, finance supervisor) with a group → permissions map extended in 5.21 + per-user permissions + invitation via SSO + /settings/staff page</t>
        </is>
      </c>
      <c r="D15" s="5" t="inlineStr">
        <is>
          <t>§2.2, §6, STAFF-01</t>
        </is>
      </c>
      <c r="E15" s="5" t="inlineStr">
        <is>
          <t>Extension: backend/app/Services/Pos/CashierManagementService.php</t>
        </is>
      </c>
      <c r="F15" s="5" t="inlineStr">
        <is>
          <t>BE+FE</t>
        </is>
      </c>
      <c r="G15" s="6" t="n">
        <v>1.25</v>
      </c>
      <c r="H15" s="5" t="inlineStr">
        <is>
          <t>No</t>
        </is>
      </c>
      <c r="I15" s="13" t="inlineStr">
        <is>
          <t>⬜ Todo</t>
        </is>
      </c>
      <c r="J15" s="13" t="inlineStr">
        <is>
          <t>feat/m1-3</t>
        </is>
      </c>
      <c r="K15" s="13" t="inlineStr"/>
      <c r="L15" s="13" t="inlineStr"/>
      <c r="M15" s="14" t="inlineStr">
        <is>
          <t>#199</t>
        </is>
      </c>
    </row>
    <row r="16">
      <c r="A16" s="5" t="inlineStr">
        <is>
          <t>1.4</t>
        </is>
      </c>
      <c r="B16" s="5" t="inlineStr">
        <is>
          <t>M1</t>
        </is>
      </c>
      <c r="C16" s="5" t="inlineStr">
        <is>
          <t>TOTP two-factor authentication (2FA): enrollment, recovery codes, post-login challenge (SSO and local admin login), step-up for issuing/voiding invoices</t>
        </is>
      </c>
      <c r="D16" s="5" t="inlineStr">
        <is>
          <t>SEC-2FA, NFR-SEC</t>
        </is>
      </c>
      <c r="E16" s="5" t="inlineStr">
        <is>
          <t>New</t>
        </is>
      </c>
      <c r="F16" s="5" t="inlineStr">
        <is>
          <t>BE+FE</t>
        </is>
      </c>
      <c r="G16" s="6" t="n">
        <v>1.25</v>
      </c>
      <c r="H16" s="5" t="inlineStr">
        <is>
          <t>No</t>
        </is>
      </c>
      <c r="I16" s="13" t="inlineStr">
        <is>
          <t>⬜ Todo</t>
        </is>
      </c>
      <c r="J16" s="13" t="inlineStr">
        <is>
          <t>feat/m1-4</t>
        </is>
      </c>
      <c r="K16" s="13" t="inlineStr"/>
      <c r="L16" s="13" t="inlineStr"/>
      <c r="M16" s="14" t="inlineStr">
        <is>
          <t>#200</t>
        </is>
      </c>
    </row>
    <row r="17">
      <c r="A17" s="5" t="inlineStr">
        <is>
          <t>1.5</t>
        </is>
      </c>
      <c r="B17" s="5" t="inlineStr">
        <is>
          <t>M1</t>
        </is>
      </c>
      <c r="C17" s="5" t="inlineStr">
        <is>
          <t>Global audit log audit_logs + AuditLogger + filterable viewer screen (who, what, when, why)</t>
        </is>
      </c>
      <c r="D17" s="5" t="inlineStr">
        <is>
          <t>NFR-AUDIT</t>
        </is>
      </c>
      <c r="E17" s="5" t="inlineStr">
        <is>
          <t>New</t>
        </is>
      </c>
      <c r="F17" s="5" t="inlineStr">
        <is>
          <t>BE+FE</t>
        </is>
      </c>
      <c r="G17" s="6" t="n">
        <v>0.75</v>
      </c>
      <c r="H17" s="5" t="inlineStr">
        <is>
          <t>No</t>
        </is>
      </c>
      <c r="I17" s="13" t="inlineStr">
        <is>
          <t>⬜ Todo</t>
        </is>
      </c>
      <c r="J17" s="13" t="inlineStr">
        <is>
          <t>feat/m1-5</t>
        </is>
      </c>
      <c r="K17" s="13" t="inlineStr"/>
      <c r="L17" s="13" t="inlineStr"/>
      <c r="M17" s="14" t="inlineStr">
        <is>
          <t>#201</t>
        </is>
      </c>
    </row>
    <row r="18">
      <c r="A18" s="5" t="inlineStr">
        <is>
          <t>1.6</t>
        </is>
      </c>
      <c r="B18" s="5" t="inlineStr">
        <is>
          <t>M1</t>
        </is>
      </c>
      <c r="C18" s="5" t="inlineStr">
        <is>
          <t>Approvals framework approval_requests + an ApprovalHandler per type + notifications to both parties + a simple approve/reject screen for the super admin (unified in 8.6)</t>
        </is>
      </c>
      <c r="D18" s="5" t="inlineStr">
        <is>
          <t>FR-SA-05, FLOW-5</t>
        </is>
      </c>
      <c r="E18" s="5" t="inlineStr">
        <is>
          <t>New</t>
        </is>
      </c>
      <c r="F18" s="5" t="inlineStr">
        <is>
          <t>BE+FE</t>
        </is>
      </c>
      <c r="G18" s="6" t="n">
        <v>1</v>
      </c>
      <c r="H18" s="5" t="inlineStr">
        <is>
          <t>No</t>
        </is>
      </c>
      <c r="I18" s="13" t="inlineStr">
        <is>
          <t>⬜ Todo</t>
        </is>
      </c>
      <c r="J18" s="13" t="inlineStr">
        <is>
          <t>feat/m1-6</t>
        </is>
      </c>
      <c r="K18" s="13" t="inlineStr"/>
      <c r="L18" s="13" t="inlineStr"/>
      <c r="M18" s="14" t="inlineStr">
        <is>
          <t>#202</t>
        </is>
      </c>
    </row>
    <row r="19">
      <c r="A19" s="5" t="inlineStr">
        <is>
          <t>1.7</t>
        </is>
      </c>
      <c r="B19" s="5" t="inlineStr">
        <is>
          <t>M1</t>
        </is>
      </c>
      <c r="C19" s="5" t="inlineStr">
        <is>
          <t>Settings — General: description, contact, bank/IBAN, time zone (16), currency (8), Wi-Fi details</t>
        </is>
      </c>
      <c r="D19" s="5" t="inlineStr">
        <is>
          <t>SET-GEN, NFR-I18N</t>
        </is>
      </c>
      <c r="E19" s="5" t="inlineStr">
        <is>
          <t>Extension: existing owner settings tabs</t>
        </is>
      </c>
      <c r="F19" s="5" t="inlineStr">
        <is>
          <t>BE+FE</t>
        </is>
      </c>
      <c r="G19" s="6" t="n">
        <v>0.5</v>
      </c>
      <c r="H19" s="5" t="inlineStr">
        <is>
          <t>No</t>
        </is>
      </c>
      <c r="I19" s="13" t="inlineStr">
        <is>
          <t>⬜ Todo</t>
        </is>
      </c>
      <c r="J19" s="13" t="inlineStr">
        <is>
          <t>feat/m1-7</t>
        </is>
      </c>
      <c r="K19" s="13" t="inlineStr"/>
      <c r="L19" s="13" t="inlineStr"/>
      <c r="M19" s="14" t="inlineStr">
        <is>
          <t>#203</t>
        </is>
      </c>
    </row>
    <row r="20">
      <c r="A20" s="5" t="inlineStr">
        <is>
          <t>1.8</t>
        </is>
      </c>
      <c r="B20" s="5" t="inlineStr">
        <is>
          <t>M1</t>
        </is>
      </c>
      <c r="C20" s="5" t="inlineStr">
        <is>
          <t>Settings — Operations: capacity (seats/flex/private/rooms), seating mode, working hours and days, per-type prices, tax; saving = "Submit for approval"</t>
        </is>
      </c>
      <c r="D20" s="5" t="inlineStr">
        <is>
          <t>SET-OPS, FLOW-5</t>
        </is>
      </c>
      <c r="E20" s="5" t="inlineStr">
        <is>
          <t>Extension: backend/app/Services/SeatTypePricingService.php</t>
        </is>
      </c>
      <c r="F20" s="5" t="inlineStr">
        <is>
          <t>BE+FE</t>
        </is>
      </c>
      <c r="G20" s="6" t="n">
        <v>1</v>
      </c>
      <c r="H20" s="5" t="inlineStr">
        <is>
          <t>No</t>
        </is>
      </c>
      <c r="I20" s="13" t="inlineStr">
        <is>
          <t>⬜ Todo</t>
        </is>
      </c>
      <c r="J20" s="13" t="inlineStr">
        <is>
          <t>feat/m1-8</t>
        </is>
      </c>
      <c r="K20" s="13" t="inlineStr"/>
      <c r="L20" s="13" t="inlineStr"/>
      <c r="M20" s="14" t="inlineStr">
        <is>
          <t>#204</t>
        </is>
      </c>
    </row>
    <row r="21">
      <c r="A21" s="5" t="inlineStr">
        <is>
          <t>1.9</t>
        </is>
      </c>
      <c r="B21" s="5" t="inlineStr">
        <is>
          <t>M1</t>
        </is>
      </c>
      <c r="C21" s="5" t="inlineStr">
        <is>
          <t>Settings — Danger zone: workspace reset through a WorkspaceResetter registry that each later module extends (network, finance, GSG) — deletes operational data and keeps identity, configuration and owner + double confirmation and 2FA</t>
        </is>
      </c>
      <c r="D21" s="5" t="inlineStr">
        <is>
          <t>SET-DNG</t>
        </is>
      </c>
      <c r="E21" s="5" t="inlineStr">
        <is>
          <t>New</t>
        </is>
      </c>
      <c r="F21" s="5" t="inlineStr">
        <is>
          <t>BE+FE</t>
        </is>
      </c>
      <c r="G21" s="6" t="n">
        <v>0.5</v>
      </c>
      <c r="H21" s="5" t="inlineStr">
        <is>
          <t>No</t>
        </is>
      </c>
      <c r="I21" s="13" t="inlineStr">
        <is>
          <t>⬜ Todo</t>
        </is>
      </c>
      <c r="J21" s="13" t="inlineStr">
        <is>
          <t>feat/m1-9</t>
        </is>
      </c>
      <c r="K21" s="13" t="inlineStr"/>
      <c r="L21" s="13" t="inlineStr"/>
      <c r="M21" s="14" t="inlineStr">
        <is>
          <t>#205</t>
        </is>
      </c>
    </row>
    <row r="22">
      <c r="A22" s="5" t="inlineStr">
        <is>
          <t>1.10</t>
        </is>
      </c>
      <c r="B22" s="5" t="inlineStr">
        <is>
          <t>M1</t>
        </is>
      </c>
      <c r="C22" s="5" t="inlineStr">
        <is>
          <t>Per-workspace feature flags (network, finance_v2, gsg) and hiding of menus that are not enabled</t>
        </is>
      </c>
      <c r="D22" s="5" t="inlineStr">
        <is>
          <t>—</t>
        </is>
      </c>
      <c r="E22" s="5" t="inlineStr">
        <is>
          <t>New</t>
        </is>
      </c>
      <c r="F22" s="5" t="inlineStr">
        <is>
          <t>BE+FE</t>
        </is>
      </c>
      <c r="G22" s="6" t="n">
        <v>0.25</v>
      </c>
      <c r="H22" s="5" t="inlineStr">
        <is>
          <t>No</t>
        </is>
      </c>
      <c r="I22" s="13" t="inlineStr">
        <is>
          <t>⬜ Todo</t>
        </is>
      </c>
      <c r="J22" s="13" t="inlineStr">
        <is>
          <t>feat/m1-10</t>
        </is>
      </c>
      <c r="K22" s="13" t="inlineStr"/>
      <c r="L22" s="13" t="inlineStr"/>
      <c r="M22" s="14" t="inlineStr">
        <is>
          <t>#206</t>
        </is>
      </c>
    </row>
    <row r="23">
      <c r="A23" s="5" t="inlineStr">
        <is>
          <t>1.11</t>
        </is>
      </c>
      <c r="B23" s="5" t="inlineStr">
        <is>
          <t>M1</t>
        </is>
      </c>
      <c r="C23" s="5" t="inlineStr">
        <is>
          <t>New menu structure: Home, Commercial, Finance, GSG Program, Analytics, Places, Settings + guided empty states</t>
        </is>
      </c>
      <c r="D23" s="5" t="inlineStr">
        <is>
          <t>§2.1, NFR-UX</t>
        </is>
      </c>
      <c r="E23" s="5" t="inlineStr">
        <is>
          <t>Extension: frontend/src/components/layout/nav-config.ts</t>
        </is>
      </c>
      <c r="F23" s="5" t="inlineStr">
        <is>
          <t>FE</t>
        </is>
      </c>
      <c r="G23" s="6" t="n">
        <v>0.5</v>
      </c>
      <c r="H23" s="5" t="inlineStr">
        <is>
          <t>No</t>
        </is>
      </c>
      <c r="I23" s="13" t="inlineStr">
        <is>
          <t>⬜ Todo</t>
        </is>
      </c>
      <c r="J23" s="13" t="inlineStr">
        <is>
          <t>feat/m1-11</t>
        </is>
      </c>
      <c r="K23" s="13" t="inlineStr"/>
      <c r="L23" s="13" t="inlineStr"/>
      <c r="M23" s="14" t="inlineStr">
        <is>
          <t>#207</t>
        </is>
      </c>
    </row>
    <row r="24">
      <c r="A24" s="5" t="inlineStr">
        <is>
          <t>1.12</t>
        </is>
      </c>
      <c r="B24" s="5" t="inlineStr">
        <is>
          <t>M1</t>
        </is>
      </c>
      <c r="C24" s="5" t="inlineStr">
        <is>
          <t>Keyboard shortcuts (Alt+S/A/R/L, F2, T/C/D, R, ⌘S) + help dialog</t>
        </is>
      </c>
      <c r="D24" s="5" t="inlineStr">
        <is>
          <t>UX-KBD, NFR-UX</t>
        </is>
      </c>
      <c r="E24" s="5" t="inlineStr">
        <is>
          <t>Extension: frontend/src/components/layout/DashShell.tsx (Escape only)</t>
        </is>
      </c>
      <c r="F24" s="5" t="inlineStr">
        <is>
          <t>FE</t>
        </is>
      </c>
      <c r="G24" s="6" t="n">
        <v>0.5</v>
      </c>
      <c r="H24" s="5" t="inlineStr">
        <is>
          <t>Yes</t>
        </is>
      </c>
      <c r="I24" s="13" t="inlineStr">
        <is>
          <t>⬜ Todo</t>
        </is>
      </c>
      <c r="J24" s="13" t="inlineStr">
        <is>
          <t>feat/m1-12</t>
        </is>
      </c>
      <c r="K24" s="13" t="inlineStr"/>
      <c r="L24" s="13" t="inlineStr"/>
      <c r="M24" s="14" t="inlineStr">
        <is>
          <t>#208</t>
        </is>
      </c>
    </row>
    <row r="25">
      <c r="A25" s="5" t="inlineStr">
        <is>
          <t>1.13</t>
        </is>
      </c>
      <c r="B25" s="5" t="inlineStr">
        <is>
          <t>M1</t>
        </is>
      </c>
      <c r="C25" s="5" t="inlineStr">
        <is>
          <t>Subscriber without an SSO account: a User record without sso_sub, created from import, device discovery or guest registration, and merged/claimed on first SSO login</t>
        </is>
      </c>
      <c r="D25" s="5" t="inlineStr">
        <is>
          <t>§2.2, ENT-Subscriber</t>
        </is>
      </c>
      <c r="E25" s="5" t="inlineStr">
        <is>
          <t>Extension: backend/app/Services/Auth/TaqatSsoService.php</t>
        </is>
      </c>
      <c r="F25" s="5" t="inlineStr">
        <is>
          <t>BE</t>
        </is>
      </c>
      <c r="G25" s="6" t="n">
        <v>0.75</v>
      </c>
      <c r="H25" s="5" t="inlineStr">
        <is>
          <t>No</t>
        </is>
      </c>
      <c r="I25" s="13" t="inlineStr">
        <is>
          <t>⬜ Todo</t>
        </is>
      </c>
      <c r="J25" s="13" t="inlineStr">
        <is>
          <t>feat/m1-13</t>
        </is>
      </c>
      <c r="K25" s="13" t="inlineStr"/>
      <c r="L25" s="13" t="inlineStr"/>
      <c r="M25" s="14" t="inlineStr">
        <is>
          <t>#209</t>
        </is>
      </c>
    </row>
    <row r="26">
      <c r="A26" s="5" t="inlineStr">
        <is>
          <t>1.14</t>
        </is>
      </c>
      <c r="B26" s="5" t="inlineStr">
        <is>
          <t>M1</t>
        </is>
      </c>
      <c r="C26" s="5" t="inlineStr">
        <is>
          <t>"Domain &amp; DNS" tab: show the dashboard URL and the public site + redirect /w/{slug} to the owner dashboard</t>
        </is>
      </c>
      <c r="D26" s="5" t="inlineStr">
        <is>
          <t>SET-DNS, §1.3</t>
        </is>
      </c>
      <c r="E26" s="5" t="inlineStr">
        <is>
          <t>New</t>
        </is>
      </c>
      <c r="F26" s="5" t="inlineStr">
        <is>
          <t>FE</t>
        </is>
      </c>
      <c r="G26" s="6" t="n">
        <v>0.25</v>
      </c>
      <c r="H26" s="5" t="inlineStr">
        <is>
          <t>No</t>
        </is>
      </c>
      <c r="I26" s="13" t="inlineStr">
        <is>
          <t>⬜ Todo</t>
        </is>
      </c>
      <c r="J26" s="13" t="inlineStr">
        <is>
          <t>feat/m1-14</t>
        </is>
      </c>
      <c r="K26" s="13" t="inlineStr"/>
      <c r="L26" s="13" t="inlineStr"/>
      <c r="M26" s="14" t="inlineStr">
        <is>
          <t>#210</t>
        </is>
      </c>
    </row>
    <row r="27">
      <c r="A27" s="5" t="inlineStr">
        <is>
          <t>2.1</t>
        </is>
      </c>
      <c r="B27" s="5" t="inlineStr">
        <is>
          <t>M2</t>
        </is>
      </c>
      <c r="C27" s="5" t="inlineStr">
        <is>
          <t>Router model routers (code, hashed key + previous key with a grace period, serial number, versions, status) + router_api_logs</t>
        </is>
      </c>
      <c r="D27" s="5" t="inlineStr">
        <is>
          <t>Appendix B</t>
        </is>
      </c>
      <c r="E27" s="5" t="inlineStr">
        <is>
          <t>New</t>
        </is>
      </c>
      <c r="F27" s="5" t="inlineStr">
        <is>
          <t>BE</t>
        </is>
      </c>
      <c r="G27" s="6" t="n">
        <v>0.5</v>
      </c>
      <c r="H27" s="5" t="inlineStr">
        <is>
          <t>No</t>
        </is>
      </c>
      <c r="I27" s="13" t="inlineStr">
        <is>
          <t>⬜ Todo</t>
        </is>
      </c>
      <c r="J27" s="13" t="inlineStr">
        <is>
          <t>feat/m2-1</t>
        </is>
      </c>
      <c r="K27" s="13" t="inlineStr"/>
      <c r="L27" s="13" t="inlineStr"/>
      <c r="M27" s="14" t="inlineStr">
        <is>
          <t>#211</t>
        </is>
      </c>
    </row>
    <row r="28">
      <c r="A28" s="5" t="inlineStr">
        <is>
          <t>2.2</t>
        </is>
      </c>
      <c r="B28" s="5" t="inlineStr">
        <is>
          <t>M2</t>
        </is>
      </c>
      <c r="C28" s="5" t="inlineStr">
        <is>
          <t>Per-router install.rsc installer generator with a one-time install token (30 minutes) and check-certificate=yes</t>
        </is>
      </c>
      <c r="D28" s="5" t="inlineStr">
        <is>
          <t>Appendix B §B.2, §B.5</t>
        </is>
      </c>
      <c r="E28" s="5" t="inlineStr">
        <is>
          <t>New</t>
        </is>
      </c>
      <c r="F28" s="5" t="inlineStr">
        <is>
          <t>BE</t>
        </is>
      </c>
      <c r="G28" s="6" t="n">
        <v>0.75</v>
      </c>
      <c r="H28" s="5" t="inlineStr">
        <is>
          <t>No</t>
        </is>
      </c>
      <c r="I28" s="13" t="inlineStr">
        <is>
          <t>⬜ Todo</t>
        </is>
      </c>
      <c r="J28" s="13" t="inlineStr">
        <is>
          <t>feat/m2-2</t>
        </is>
      </c>
      <c r="K28" s="13" t="inlineStr"/>
      <c r="L28" s="13" t="inlineStr"/>
      <c r="M28" s="14" t="inlineStr">
        <is>
          <t>#212</t>
        </is>
      </c>
    </row>
    <row r="29">
      <c r="A29" s="5" t="inlineStr">
        <is>
          <t>2.3</t>
        </is>
      </c>
      <c r="B29" s="5" t="inlineStr">
        <is>
          <t>M2</t>
        </is>
      </c>
      <c r="C29" s="5" t="inlineStr">
        <is>
          <t>RouterOS 7.12+ scripts: pre-flight checks, on-login/on-logout hooks, RAM buffers, 50 s scheduler, chunked 30 min snapshot, persistent seq on flash, allowlisted command interpreter, shared-users=1 and visitor profile, "poll-only" mode for the parallel run</t>
        </is>
      </c>
      <c r="D29" s="5" t="inlineStr">
        <is>
          <t>Appendix B §B.2–B.3</t>
        </is>
      </c>
      <c r="E29" s="5" t="inlineStr">
        <is>
          <t>New</t>
        </is>
      </c>
      <c r="F29" s="5" t="inlineStr">
        <is>
          <t>BE</t>
        </is>
      </c>
      <c r="G29" s="6" t="n">
        <v>3</v>
      </c>
      <c r="H29" s="5" t="inlineStr">
        <is>
          <t>No</t>
        </is>
      </c>
      <c r="I29" s="13" t="inlineStr">
        <is>
          <t>⬜ Todo</t>
        </is>
      </c>
      <c r="J29" s="13" t="inlineStr">
        <is>
          <t>feat/m2-3</t>
        </is>
      </c>
      <c r="K29" s="13" t="inlineStr"/>
      <c r="L29" s="13" t="inlineStr"/>
      <c r="M29" s="14" t="inlineStr">
        <is>
          <t>#213</t>
        </is>
      </c>
    </row>
    <row r="30">
      <c r="A30" s="5" t="inlineStr">
        <is>
          <t>2.4</t>
        </is>
      </c>
      <c r="B30" s="5" t="inlineStr">
        <is>
          <t>M2</t>
        </is>
      </c>
      <c r="C30" s="5" t="inlineStr">
        <is>
          <t>POST /api/v1/hotspot/{code}/sync + AuthenticateRouter + rate limit + raw storage in hotspot_events (dedup by event_uid) and router_snapshots with its chunks + batch_id + clock-skew correction + plain-text response</t>
        </is>
      </c>
      <c r="D30" s="5" t="inlineStr">
        <is>
          <t>Appendix B §B.3, NFR-SEC</t>
        </is>
      </c>
      <c r="E30" s="5" t="inlineStr">
        <is>
          <t>Extension: pattern of backend/app/Http/Middleware/AuthenticatePartner.php</t>
        </is>
      </c>
      <c r="F30" s="5" t="inlineStr">
        <is>
          <t>BE</t>
        </is>
      </c>
      <c r="G30" s="6" t="n">
        <v>2</v>
      </c>
      <c r="H30" s="5" t="inlineStr">
        <is>
          <t>No</t>
        </is>
      </c>
      <c r="I30" s="13" t="inlineStr">
        <is>
          <t>⬜ Todo</t>
        </is>
      </c>
      <c r="J30" s="13" t="inlineStr">
        <is>
          <t>feat/m2-4</t>
        </is>
      </c>
      <c r="K30" s="13" t="inlineStr"/>
      <c r="L30" s="13" t="inlineStr"/>
      <c r="M30" s="14" t="inlineStr">
        <is>
          <t>#214</t>
        </is>
      </c>
    </row>
    <row r="31">
      <c r="A31" s="5" t="inlineStr">
        <is>
          <t>2.5</t>
        </is>
      </c>
      <c r="B31" s="5" t="inlineStr">
        <is>
          <t>M2</t>
        </is>
      </c>
      <c r="C31" s="5" t="inlineStr">
        <is>
          <t>Command queue router_commands (requested→delivered→acknowledged, resend, expiry) with actions: upsert-user, upsert-profile, disable-user, remove-active, block-mac, set-key, update-script</t>
        </is>
      </c>
      <c r="D31" s="5" t="inlineStr">
        <is>
          <t>Appendix B §B.3</t>
        </is>
      </c>
      <c r="E31" s="5" t="inlineStr">
        <is>
          <t>New</t>
        </is>
      </c>
      <c r="F31" s="5" t="inlineStr">
        <is>
          <t>BE</t>
        </is>
      </c>
      <c r="G31" s="6" t="n">
        <v>1.25</v>
      </c>
      <c r="H31" s="5" t="inlineStr">
        <is>
          <t>No</t>
        </is>
      </c>
      <c r="I31" s="13" t="inlineStr">
        <is>
          <t>⬜ Todo</t>
        </is>
      </c>
      <c r="J31" s="13" t="inlineStr">
        <is>
          <t>feat/m2-5</t>
        </is>
      </c>
      <c r="K31" s="13" t="inlineStr"/>
      <c r="L31" s="13" t="inlineStr"/>
      <c r="M31" s="14" t="inlineStr">
        <is>
          <t>#215</t>
        </is>
      </c>
    </row>
    <row r="32">
      <c r="A32" s="5" t="inlineStr">
        <is>
          <t>2.6</t>
        </is>
      </c>
      <c r="B32" s="5" t="inlineStr">
        <is>
          <t>M2</t>
        </is>
      </c>
      <c r="C32" s="5" t="inlineStr">
        <is>
          <t>hotspot_accounts (unique per workspace) + migrate subscriptions.internet_username + wire InternetAccessService to upsert/disable commands on approval, suspension and expiry + map packages/plans to hotspot profiles (rate-limit, limit-bytes-total, shared-users=1, validity)</t>
        </is>
      </c>
      <c r="D32" s="5" t="inlineStr">
        <is>
          <t>§4, FR-FL-01, §2.3</t>
        </is>
      </c>
      <c r="E32" s="5" t="inlineStr">
        <is>
          <t>Extension: backend/app/Services/InternetAccessService.php</t>
        </is>
      </c>
      <c r="F32" s="5" t="inlineStr">
        <is>
          <t>BE</t>
        </is>
      </c>
      <c r="G32" s="6" t="n">
        <v>1.25</v>
      </c>
      <c r="H32" s="5" t="inlineStr">
        <is>
          <t>No</t>
        </is>
      </c>
      <c r="I32" s="13" t="inlineStr">
        <is>
          <t>⬜ Todo</t>
        </is>
      </c>
      <c r="J32" s="13" t="inlineStr">
        <is>
          <t>feat/m2-6</t>
        </is>
      </c>
      <c r="K32" s="13" t="inlineStr"/>
      <c r="L32" s="13" t="inlineStr"/>
      <c r="M32" s="14" t="inlineStr">
        <is>
          <t>#216</t>
        </is>
      </c>
    </row>
    <row r="33">
      <c r="A33" s="5" t="inlineStr">
        <is>
          <t>2.7</t>
        </is>
      </c>
      <c r="B33" s="5" t="inlineStr">
        <is>
          <t>M2</t>
        </is>
      </c>
      <c r="C33" s="5" t="inlineStr">
        <is>
          <t>Lock the router to its serial number + "Unlock router" + regenerate/rotate the API key without reinstalling (set-key)</t>
        </is>
      </c>
      <c r="D33" s="5" t="inlineStr">
        <is>
          <t>Appendix B §B.5</t>
        </is>
      </c>
      <c r="E33" s="5" t="inlineStr">
        <is>
          <t>New</t>
        </is>
      </c>
      <c r="F33" s="5" t="inlineStr">
        <is>
          <t>BE</t>
        </is>
      </c>
      <c r="G33" s="6" t="n">
        <v>0.5</v>
      </c>
      <c r="H33" s="5" t="inlineStr">
        <is>
          <t>No</t>
        </is>
      </c>
      <c r="I33" s="13" t="inlineStr">
        <is>
          <t>⬜ Todo</t>
        </is>
      </c>
      <c r="J33" s="13" t="inlineStr">
        <is>
          <t>feat/m2-7</t>
        </is>
      </c>
      <c r="K33" s="13" t="inlineStr"/>
      <c r="L33" s="13" t="inlineStr"/>
      <c r="M33" s="14" t="inlineStr">
        <is>
          <t>#217</t>
        </is>
      </c>
    </row>
    <row r="34">
      <c r="A34" s="5" t="inlineStr">
        <is>
          <t>2.8</t>
        </is>
      </c>
      <c r="B34" s="5" t="inlineStr">
        <is>
          <t>M2</t>
        </is>
      </c>
      <c r="C34" s="5" t="inlineStr">
        <is>
          <t>Automatic script updates (version + sha + owner confirmation) + "Push full update"</t>
        </is>
      </c>
      <c r="D34" s="5" t="inlineStr">
        <is>
          <t>Appendix B §B.5</t>
        </is>
      </c>
      <c r="E34" s="5" t="inlineStr">
        <is>
          <t>New</t>
        </is>
      </c>
      <c r="F34" s="5" t="inlineStr">
        <is>
          <t>BE</t>
        </is>
      </c>
      <c r="G34" s="6" t="n">
        <v>0.5</v>
      </c>
      <c r="H34" s="5" t="inlineStr">
        <is>
          <t>No</t>
        </is>
      </c>
      <c r="I34" s="13" t="inlineStr">
        <is>
          <t>⬜ Todo</t>
        </is>
      </c>
      <c r="J34" s="13" t="inlineStr">
        <is>
          <t>feat/m2-8</t>
        </is>
      </c>
      <c r="K34" s="13" t="inlineStr"/>
      <c r="L34" s="13" t="inlineStr"/>
      <c r="M34" s="14" t="inlineStr">
        <is>
          <t>#218</t>
        </is>
      </c>
    </row>
    <row r="35">
      <c r="A35" s="5" t="inlineStr">
        <is>
          <t>2.9</t>
        </is>
      </c>
      <c r="B35" s="5" t="inlineStr">
        <is>
          <t>M2</t>
        </is>
      </c>
      <c r="C35" s="5" t="inlineStr">
        <is>
          <t>"API &amp; integration" page: sync status, router card, workspace code, endpoint, installer, commands, key regeneration</t>
        </is>
      </c>
      <c r="D35" s="5" t="inlineStr">
        <is>
          <t>SET-API</t>
        </is>
      </c>
      <c r="E35" s="5" t="inlineStr">
        <is>
          <t>New</t>
        </is>
      </c>
      <c r="F35" s="5" t="inlineStr">
        <is>
          <t>FE</t>
        </is>
      </c>
      <c r="G35" s="6" t="n">
        <v>0.75</v>
      </c>
      <c r="H35" s="5" t="inlineStr">
        <is>
          <t>No</t>
        </is>
      </c>
      <c r="I35" s="13" t="inlineStr">
        <is>
          <t>⬜ Todo</t>
        </is>
      </c>
      <c r="J35" s="13" t="inlineStr">
        <is>
          <t>feat/m2-9</t>
        </is>
      </c>
      <c r="K35" s="13" t="inlineStr"/>
      <c r="L35" s="13" t="inlineStr"/>
      <c r="M35" s="14" t="inlineStr">
        <is>
          <t>#219</t>
        </is>
      </c>
    </row>
    <row r="36">
      <c r="A36" s="5" t="inlineStr">
        <is>
          <t>2.10</t>
        </is>
      </c>
      <c r="B36" s="5" t="inlineStr">
        <is>
          <t>M2</t>
        </is>
      </c>
      <c r="C36" s="5" t="inlineStr">
        <is>
          <t>"API diagnostics" page: request log, filters, refresh every 30 s, diagnostics center and deep check</t>
        </is>
      </c>
      <c r="D36" s="5" t="inlineStr">
        <is>
          <t>SET-API</t>
        </is>
      </c>
      <c r="E36" s="5" t="inlineStr">
        <is>
          <t>New</t>
        </is>
      </c>
      <c r="F36" s="5" t="inlineStr">
        <is>
          <t>BE+FE</t>
        </is>
      </c>
      <c r="G36" s="6" t="n">
        <v>0.5</v>
      </c>
      <c r="H36" s="5" t="inlineStr">
        <is>
          <t>No</t>
        </is>
      </c>
      <c r="I36" s="13" t="inlineStr">
        <is>
          <t>⬜ Todo</t>
        </is>
      </c>
      <c r="J36" s="13" t="inlineStr">
        <is>
          <t>feat/m2-10</t>
        </is>
      </c>
      <c r="K36" s="13" t="inlineStr"/>
      <c r="L36" s="13" t="inlineStr"/>
      <c r="M36" s="14" t="inlineStr">
        <is>
          <t>#220</t>
        </is>
      </c>
    </row>
    <row r="37">
      <c r="A37" s="5" t="inlineStr">
        <is>
          <t>2.11</t>
        </is>
      </c>
      <c r="B37" s="5" t="inlineStr">
        <is>
          <t>M2</t>
        </is>
      </c>
      <c r="C37" s="5" t="inlineStr">
        <is>
          <t>Router simulator hotspot:simulate (461 subscribers, 1,149 devices, outages, duplicates, clock skew, reboot burst) + FakeRouterTransport</t>
        </is>
      </c>
      <c r="D37" s="5" t="inlineStr">
        <is>
          <t>—</t>
        </is>
      </c>
      <c r="E37" s="5" t="inlineStr">
        <is>
          <t>New</t>
        </is>
      </c>
      <c r="F37" s="5" t="inlineStr">
        <is>
          <t>BE</t>
        </is>
      </c>
      <c r="G37" s="6" t="n">
        <v>1</v>
      </c>
      <c r="H37" s="5" t="inlineStr">
        <is>
          <t>No</t>
        </is>
      </c>
      <c r="I37" s="13" t="inlineStr">
        <is>
          <t>⬜ Todo</t>
        </is>
      </c>
      <c r="J37" s="13" t="inlineStr">
        <is>
          <t>feat/m2-11</t>
        </is>
      </c>
      <c r="K37" s="13" t="inlineStr"/>
      <c r="L37" s="13" t="inlineStr"/>
      <c r="M37" s="14" t="inlineStr">
        <is>
          <t>#221</t>
        </is>
      </c>
    </row>
    <row r="38">
      <c r="A38" s="5" t="inlineStr">
        <is>
          <t>2.12</t>
        </is>
      </c>
      <c r="B38" s="5" t="inlineStr">
        <is>
          <t>M2</t>
        </is>
      </c>
      <c r="C38" s="5" t="inlineStr">
        <is>
          <t>Test on MikroTik CHR, then on a real router: one-hour outage, reboot, 2,048 sessions, rejection of a key from another router</t>
        </is>
      </c>
      <c r="D38" s="5" t="inlineStr">
        <is>
          <t>—</t>
        </is>
      </c>
      <c r="E38" s="5" t="inlineStr">
        <is>
          <t>New</t>
        </is>
      </c>
      <c r="F38" s="5" t="inlineStr">
        <is>
          <t>QA</t>
        </is>
      </c>
      <c r="G38" s="6" t="n">
        <v>1.5</v>
      </c>
      <c r="H38" s="5" t="inlineStr">
        <is>
          <t>No</t>
        </is>
      </c>
      <c r="I38" s="13" t="inlineStr">
        <is>
          <t>⬜ Todo</t>
        </is>
      </c>
      <c r="J38" s="13" t="inlineStr">
        <is>
          <t>feat/m2-12</t>
        </is>
      </c>
      <c r="K38" s="13" t="inlineStr"/>
      <c r="L38" s="13" t="inlineStr"/>
      <c r="M38" s="14" t="inlineStr">
        <is>
          <t>#222</t>
        </is>
      </c>
    </row>
    <row r="39">
      <c r="A39" s="5" t="inlineStr">
        <is>
          <t>2.14</t>
        </is>
      </c>
      <c r="B39" s="5" t="inlineStr">
        <is>
          <t>M2</t>
        </is>
      </c>
      <c r="C39" s="5" t="inlineStr">
        <is>
          <t>Move production from cPanel to the VPS: copy the database, switch DNS for api/taqat/sync, 48-hour monitoring, shut down cPanel after two weeks — before 2.13</t>
        </is>
      </c>
      <c r="D39" s="5" t="inlineStr">
        <is>
          <t>NFR-PERF</t>
        </is>
      </c>
      <c r="E39" s="5" t="inlineStr">
        <is>
          <t>New</t>
        </is>
      </c>
      <c r="F39" s="5" t="inlineStr">
        <is>
          <t>Ops</t>
        </is>
      </c>
      <c r="G39" s="6" t="n">
        <v>0.75</v>
      </c>
      <c r="H39" s="5" t="inlineStr">
        <is>
          <t>No</t>
        </is>
      </c>
      <c r="I39" s="13" t="inlineStr">
        <is>
          <t>⬜ Todo</t>
        </is>
      </c>
      <c r="J39" s="13" t="inlineStr">
        <is>
          <t>feat/m2-14</t>
        </is>
      </c>
      <c r="K39" s="13" t="inlineStr"/>
      <c r="L39" s="13" t="inlineStr"/>
      <c r="M39" s="14" t="inlineStr">
        <is>
          <t>#223</t>
        </is>
      </c>
    </row>
    <row r="40">
      <c r="A40" s="5" t="inlineStr">
        <is>
          <t>2.13</t>
        </is>
      </c>
      <c r="B40" s="5" t="inlineStr">
        <is>
          <t>M2</t>
        </is>
      </c>
      <c r="C40" s="5" t="inlineStr">
        <is>
          <t>Launch the parallel run on the TAQAT GAZA router (alongside the CoWorkSpaces script) and monitor it</t>
        </is>
      </c>
      <c r="D40" s="5" t="inlineStr">
        <is>
          <t>—</t>
        </is>
      </c>
      <c r="E40" s="5" t="inlineStr">
        <is>
          <t>New</t>
        </is>
      </c>
      <c r="F40" s="5" t="inlineStr">
        <is>
          <t>Ops</t>
        </is>
      </c>
      <c r="G40" s="6" t="n">
        <v>0.25</v>
      </c>
      <c r="H40" s="5" t="inlineStr">
        <is>
          <t>No</t>
        </is>
      </c>
      <c r="I40" s="13" t="inlineStr">
        <is>
          <t>⬜ Todo</t>
        </is>
      </c>
      <c r="J40" s="13" t="inlineStr">
        <is>
          <t>feat/m2-13</t>
        </is>
      </c>
      <c r="K40" s="13" t="inlineStr"/>
      <c r="L40" s="13" t="inlineStr"/>
      <c r="M40" s="14" t="inlineStr">
        <is>
          <t>#224</t>
        </is>
      </c>
    </row>
    <row r="41">
      <c r="A41" s="5" t="inlineStr">
        <is>
          <t>3.1</t>
        </is>
      </c>
      <c r="B41" s="5" t="inlineStr">
        <is>
          <t>M3</t>
        </is>
      </c>
      <c r="C41" s="5" t="inlineStr">
        <is>
          <t>Reassemble chunked snapshots (stored in 2.4) + device_presence (online now) + processing of stored events</t>
        </is>
      </c>
      <c r="D41" s="5" t="inlineStr">
        <is>
          <t>Appendix B §B.3, ENT-Device</t>
        </is>
      </c>
      <c r="E41" s="5" t="inlineStr">
        <is>
          <t>New</t>
        </is>
      </c>
      <c r="F41" s="5" t="inlineStr">
        <is>
          <t>BE</t>
        </is>
      </c>
      <c r="G41" s="6" t="n">
        <v>1</v>
      </c>
      <c r="H41" s="5" t="inlineStr">
        <is>
          <t>No</t>
        </is>
      </c>
      <c r="I41" s="13" t="inlineStr">
        <is>
          <t>⬜ Todo</t>
        </is>
      </c>
      <c r="J41" s="13" t="inlineStr">
        <is>
          <t>feat/m3-1</t>
        </is>
      </c>
      <c r="K41" s="13" t="inlineStr"/>
      <c r="L41" s="13" t="inlineStr"/>
      <c r="M41" s="14" t="inlineStr">
        <is>
          <t>#225</t>
        </is>
      </c>
    </row>
    <row r="42">
      <c r="A42" s="5" t="inlineStr">
        <is>
          <t>3.2</t>
        </is>
      </c>
      <c r="B42" s="5" t="inlineStr">
        <is>
          <t>M3</t>
        </is>
      </c>
      <c r="C42" s="5" t="inlineStr">
        <is>
          <t>Linking: hotspot username → subscriber, MAC → device (devices), auto-creation of discovered devices</t>
        </is>
      </c>
      <c r="D42" s="5" t="inlineStr">
        <is>
          <t>Appendix B §B.4, §2.4</t>
        </is>
      </c>
      <c r="E42" s="5" t="inlineStr">
        <is>
          <t>New</t>
        </is>
      </c>
      <c r="F42" s="5" t="inlineStr">
        <is>
          <t>BE</t>
        </is>
      </c>
      <c r="G42" s="6" t="n">
        <v>1</v>
      </c>
      <c r="H42" s="5" t="inlineStr">
        <is>
          <t>No</t>
        </is>
      </c>
      <c r="I42" s="13" t="inlineStr">
        <is>
          <t>⬜ Todo</t>
        </is>
      </c>
      <c r="J42" s="13" t="inlineStr">
        <is>
          <t>feat/m3-2</t>
        </is>
      </c>
      <c r="K42" s="13" t="inlineStr"/>
      <c r="L42" s="13" t="inlineStr"/>
      <c r="M42" s="14" t="inlineStr">
        <is>
          <t>#226</t>
        </is>
      </c>
    </row>
    <row r="43">
      <c r="A43" s="5" t="inlineStr">
        <is>
          <t>3.3</t>
        </is>
      </c>
      <c r="B43" s="5" t="inlineStr">
        <is>
          <t>M3</t>
        </is>
      </c>
      <c r="C43" s="5" t="inlineStr">
        <is>
          <t>Build sessions hotspot_sessions (event/snapshot/timeout/reboot) under a per-router Redis lock</t>
        </is>
      </c>
      <c r="D43" s="5" t="inlineStr">
        <is>
          <t>FR-NET-03</t>
        </is>
      </c>
      <c r="E43" s="5" t="inlineStr">
        <is>
          <t>New</t>
        </is>
      </c>
      <c r="F43" s="5" t="inlineStr">
        <is>
          <t>BE</t>
        </is>
      </c>
      <c r="G43" s="6" t="n">
        <v>1.5</v>
      </c>
      <c r="H43" s="5" t="inlineStr">
        <is>
          <t>No</t>
        </is>
      </c>
      <c r="I43" s="13" t="inlineStr">
        <is>
          <t>⬜ Todo</t>
        </is>
      </c>
      <c r="J43" s="13" t="inlineStr">
        <is>
          <t>feat/m3-3</t>
        </is>
      </c>
      <c r="K43" s="13" t="inlineStr"/>
      <c r="L43" s="13" t="inlineStr"/>
      <c r="M43" s="14" t="inlineStr">
        <is>
          <t>#227</t>
        </is>
      </c>
    </row>
    <row r="44">
      <c r="A44" s="5" t="inlineStr">
        <is>
          <t>3.4</t>
        </is>
      </c>
      <c r="B44" s="5" t="inlineStr">
        <is>
          <t>M3</t>
        </is>
      </c>
      <c r="C44" s="5" t="inlineStr">
        <is>
          <t>Daily attendance attendance_daily (48-slot bitmap, union of device intervals) in the four modes Active Actual / Day Span / Hour Bucket / Half-Hour, with day boundaries in the workspace time zone (1.7)</t>
        </is>
      </c>
      <c r="D44" s="5" t="inlineStr">
        <is>
          <t>FR-TRK-02</t>
        </is>
      </c>
      <c r="E44" s="5" t="inlineStr">
        <is>
          <t>New</t>
        </is>
      </c>
      <c r="F44" s="5" t="inlineStr">
        <is>
          <t>BE</t>
        </is>
      </c>
      <c r="G44" s="6" t="n">
        <v>2</v>
      </c>
      <c r="H44" s="5" t="inlineStr">
        <is>
          <t>No</t>
        </is>
      </c>
      <c r="I44" s="13" t="inlineStr">
        <is>
          <t>⬜ Todo</t>
        </is>
      </c>
      <c r="J44" s="13" t="inlineStr">
        <is>
          <t>feat/m3-4</t>
        </is>
      </c>
      <c r="K44" s="13" t="inlineStr"/>
      <c r="L44" s="13" t="inlineStr"/>
      <c r="M44" s="14" t="inlineStr">
        <is>
          <t>#228</t>
        </is>
      </c>
    </row>
    <row r="45">
      <c r="A45" s="5" t="inlineStr">
        <is>
          <t>3.5</t>
        </is>
      </c>
      <c r="B45" s="5" t="inlineStr">
        <is>
          <t>M3</t>
        </is>
      </c>
      <c r="C45" s="5" t="inlineStr">
        <is>
          <t>Daily, weekly and monthly statistics per workspace and per subscriber + "Recalculate" for a historical range (command + button under "Tools" for the owner)</t>
        </is>
      </c>
      <c r="D45" s="5" t="inlineStr">
        <is>
          <t>§7.1 performance</t>
        </is>
      </c>
      <c r="E45" s="5" t="inlineStr">
        <is>
          <t>New</t>
        </is>
      </c>
      <c r="F45" s="5" t="inlineStr">
        <is>
          <t>BE+FE</t>
        </is>
      </c>
      <c r="G45" s="6" t="n">
        <v>1.25</v>
      </c>
      <c r="H45" s="5" t="inlineStr">
        <is>
          <t>No</t>
        </is>
      </c>
      <c r="I45" s="13" t="inlineStr">
        <is>
          <t>⬜ Todo</t>
        </is>
      </c>
      <c r="J45" s="13" t="inlineStr">
        <is>
          <t>feat/m3-5</t>
        </is>
      </c>
      <c r="K45" s="13" t="inlineStr"/>
      <c r="L45" s="13" t="inlineStr"/>
      <c r="M45" s="14" t="inlineStr">
        <is>
          <t>#229</t>
        </is>
      </c>
    </row>
    <row r="46">
      <c r="A46" s="5" t="inlineStr">
        <is>
          <t>3.6</t>
        </is>
      </c>
      <c r="B46" s="5" t="inlineStr">
        <is>
          <t>M3</t>
        </is>
      </c>
      <c r="C46" s="5" t="inlineStr">
        <is>
          <t>Gap detection router_gaps and missing-data days, flagged in attendance</t>
        </is>
      </c>
      <c r="D46" s="5" t="inlineStr">
        <is>
          <t>FR-NET-03, R3</t>
        </is>
      </c>
      <c r="E46" s="5" t="inlineStr">
        <is>
          <t>New</t>
        </is>
      </c>
      <c r="F46" s="5" t="inlineStr">
        <is>
          <t>BE</t>
        </is>
      </c>
      <c r="G46" s="6" t="n">
        <v>0.5</v>
      </c>
      <c r="H46" s="5" t="inlineStr">
        <is>
          <t>No</t>
        </is>
      </c>
      <c r="I46" s="13" t="inlineStr">
        <is>
          <t>⬜ Todo</t>
        </is>
      </c>
      <c r="J46" s="13" t="inlineStr">
        <is>
          <t>feat/m3-6</t>
        </is>
      </c>
      <c r="K46" s="13" t="inlineStr"/>
      <c r="L46" s="13" t="inlineStr"/>
      <c r="M46" s="14" t="inlineStr">
        <is>
          <t>#230</t>
        </is>
      </c>
    </row>
    <row r="47">
      <c r="A47" s="5" t="inlineStr">
        <is>
          <t>3.7</t>
        </is>
      </c>
      <c r="B47" s="5" t="inlineStr">
        <is>
          <t>M3</t>
        </is>
      </c>
      <c r="C47" s="5" t="inlineStr">
        <is>
          <t>Loyalty and strength scores and segments (champions, regulars, at risk of stopping, about to churn, new, dormant) with configurable weights</t>
        </is>
      </c>
      <c r="D47" s="5" t="inlineStr">
        <is>
          <t>FR-DSH-06, FR-MEM-08</t>
        </is>
      </c>
      <c r="E47" s="5" t="inlineStr">
        <is>
          <t>New</t>
        </is>
      </c>
      <c r="F47" s="5" t="inlineStr">
        <is>
          <t>BE</t>
        </is>
      </c>
      <c r="G47" s="6" t="n">
        <v>1</v>
      </c>
      <c r="H47" s="5" t="inlineStr">
        <is>
          <t>No</t>
        </is>
      </c>
      <c r="I47" s="13" t="inlineStr">
        <is>
          <t>⬜ Todo</t>
        </is>
      </c>
      <c r="J47" s="13" t="inlineStr">
        <is>
          <t>feat/m3-7</t>
        </is>
      </c>
      <c r="K47" s="13" t="inlineStr"/>
      <c r="L47" s="13" t="inlineStr"/>
      <c r="M47" s="14" t="inlineStr">
        <is>
          <t>#231</t>
        </is>
      </c>
    </row>
    <row r="48">
      <c r="A48" s="5" t="inlineStr">
        <is>
          <t>3.8</t>
        </is>
      </c>
      <c r="B48" s="5" t="inlineStr">
        <is>
          <t>M3</t>
        </is>
      </c>
      <c r="C48" s="5" t="inlineStr">
        <is>
          <t>Alerts engine alert_rules/alerts: high usage (10GB/7 days), new device, churn risk, inactive, expiring contracts, overtime, repeat visitors, occupancy ≥90%, loyalty drop; severity, cooldown, quiet hours, channels (dashboard/email/FCM)</t>
        </is>
      </c>
      <c r="D48" s="5" t="inlineStr">
        <is>
          <t>FR-ALR-01, FR-MEM-05</t>
        </is>
      </c>
      <c r="E48" s="5" t="inlineStr">
        <is>
          <t>Extension: channels in backend/app/Notifications/</t>
        </is>
      </c>
      <c r="F48" s="5" t="inlineStr">
        <is>
          <t>BE</t>
        </is>
      </c>
      <c r="G48" s="6" t="n">
        <v>1.5</v>
      </c>
      <c r="H48" s="5" t="inlineStr">
        <is>
          <t>No</t>
        </is>
      </c>
      <c r="I48" s="13" t="inlineStr">
        <is>
          <t>⬜ Todo</t>
        </is>
      </c>
      <c r="J48" s="13" t="inlineStr">
        <is>
          <t>feat/m3-8</t>
        </is>
      </c>
      <c r="K48" s="13" t="inlineStr"/>
      <c r="L48" s="13" t="inlineStr"/>
      <c r="M48" s="14" t="inlineStr">
        <is>
          <t>#232</t>
        </is>
      </c>
    </row>
    <row r="49">
      <c r="A49" s="5" t="inlineStr">
        <is>
          <t>3.9</t>
        </is>
      </c>
      <c r="B49" s="5" t="inlineStr">
        <is>
          <t>M3</t>
        </is>
      </c>
      <c r="C49" s="5" t="inlineStr">
        <is>
          <t>Data-integrity tools: split a shared username by MAC, merge accounts, block a device on the router — reason required</t>
        </is>
      </c>
      <c r="D49" s="5" t="inlineStr">
        <is>
          <t>FL-TP-TOOLS</t>
        </is>
      </c>
      <c r="E49" s="5" t="inlineStr">
        <is>
          <t>New</t>
        </is>
      </c>
      <c r="F49" s="5" t="inlineStr">
        <is>
          <t>BE+FE</t>
        </is>
      </c>
      <c r="G49" s="6" t="n">
        <v>0.75</v>
      </c>
      <c r="H49" s="5" t="inlineStr">
        <is>
          <t>No</t>
        </is>
      </c>
      <c r="I49" s="13" t="inlineStr">
        <is>
          <t>⬜ Todo</t>
        </is>
      </c>
      <c r="J49" s="13" t="inlineStr">
        <is>
          <t>feat/m3-9</t>
        </is>
      </c>
      <c r="K49" s="13" t="inlineStr"/>
      <c r="L49" s="13" t="inlineStr"/>
      <c r="M49" s="14" t="inlineStr">
        <is>
          <t>#233</t>
        </is>
      </c>
    </row>
    <row r="50">
      <c r="A50" s="5" t="inlineStr">
        <is>
          <t>3.10</t>
        </is>
      </c>
      <c r="B50" s="5" t="inlineStr">
        <is>
          <t>M3</t>
        </is>
      </c>
      <c r="C50" s="5" t="inlineStr">
        <is>
          <t>Retention policy and scheduled cleanup (raw data 90 days after close, chunks 7 days, logs 14 days)</t>
        </is>
      </c>
      <c r="D50" s="5" t="inlineStr">
        <is>
          <t>NFR-PERF</t>
        </is>
      </c>
      <c r="E50" s="5" t="inlineStr">
        <is>
          <t>New</t>
        </is>
      </c>
      <c r="F50" s="5" t="inlineStr">
        <is>
          <t>BE</t>
        </is>
      </c>
      <c r="G50" s="6" t="n">
        <v>0.25</v>
      </c>
      <c r="H50" s="5" t="inlineStr">
        <is>
          <t>No</t>
        </is>
      </c>
      <c r="I50" s="13" t="inlineStr">
        <is>
          <t>⬜ Todo</t>
        </is>
      </c>
      <c r="J50" s="13" t="inlineStr">
        <is>
          <t>feat/m3-10</t>
        </is>
      </c>
      <c r="K50" s="13" t="inlineStr"/>
      <c r="L50" s="13" t="inlineStr"/>
      <c r="M50" s="14" t="inlineStr">
        <is>
          <t>#234</t>
        </is>
      </c>
    </row>
    <row r="51">
      <c r="A51" s="5" t="inlineStr">
        <is>
          <t>3.11</t>
        </is>
      </c>
      <c r="B51" s="5" t="inlineStr">
        <is>
          <t>M3</t>
        </is>
      </c>
      <c r="C51" s="5" t="inlineStr">
        <is>
          <t>Accuracy tests on parallel-run data: hours difference ≤ 5% versus CoWorkSpaces</t>
        </is>
      </c>
      <c r="D51" s="5" t="inlineStr">
        <is>
          <t>—</t>
        </is>
      </c>
      <c r="E51" s="5" t="inlineStr">
        <is>
          <t>New</t>
        </is>
      </c>
      <c r="F51" s="5" t="inlineStr">
        <is>
          <t>QA</t>
        </is>
      </c>
      <c r="G51" s="6" t="n">
        <v>1.25</v>
      </c>
      <c r="H51" s="5" t="inlineStr">
        <is>
          <t>No</t>
        </is>
      </c>
      <c r="I51" s="13" t="inlineStr">
        <is>
          <t>⬜ Todo</t>
        </is>
      </c>
      <c r="J51" s="13" t="inlineStr">
        <is>
          <t>feat/m3-11</t>
        </is>
      </c>
      <c r="K51" s="13" t="inlineStr"/>
      <c r="L51" s="13" t="inlineStr"/>
      <c r="M51" s="14" t="inlineStr">
        <is>
          <t>#235</t>
        </is>
      </c>
    </row>
    <row r="52">
      <c r="A52" s="5" t="inlineStr">
        <is>
          <t>3.12</t>
        </is>
      </c>
      <c r="B52" s="5" t="inlineStr">
        <is>
          <t>M3</t>
        </is>
      </c>
      <c r="C52" s="5" t="inlineStr">
        <is>
          <t>Monthly comparison report against CoWorkSpaces (hours per subscriber and UR), run every month until cutover</t>
        </is>
      </c>
      <c r="D52" s="5" t="inlineStr">
        <is>
          <t>§7.3</t>
        </is>
      </c>
      <c r="E52" s="5" t="inlineStr">
        <is>
          <t>New</t>
        </is>
      </c>
      <c r="F52" s="5" t="inlineStr">
        <is>
          <t>BE</t>
        </is>
      </c>
      <c r="G52" s="6" t="n">
        <v>0.5</v>
      </c>
      <c r="H52" s="5" t="inlineStr">
        <is>
          <t>No</t>
        </is>
      </c>
      <c r="I52" s="13" t="inlineStr">
        <is>
          <t>⬜ Todo</t>
        </is>
      </c>
      <c r="J52" s="13" t="inlineStr">
        <is>
          <t>feat/m3-12</t>
        </is>
      </c>
      <c r="K52" s="13" t="inlineStr"/>
      <c r="L52" s="13" t="inlineStr"/>
      <c r="M52" s="14" t="inlineStr">
        <is>
          <t>#236</t>
        </is>
      </c>
    </row>
    <row r="53">
      <c r="A53" s="5" t="inlineStr">
        <is>
          <t>4.1</t>
        </is>
      </c>
      <c r="B53" s="5" t="inlineStr">
        <is>
          <t>M4</t>
        </is>
      </c>
      <c r="C53" s="5" t="inlineStr">
        <is>
          <t>Executive performance dashboard: workspace health (4 components + recommendations), KPI cards, the five charts, growth and engagement, expected revenue, ARPU and occupancy, segments, "Need follow-up" and top loyalty, last sync and refresh button</t>
        </is>
      </c>
      <c r="D53" s="5" t="inlineStr">
        <is>
          <t>FR-DSH-01..06, FR-DSH-08..09</t>
        </is>
      </c>
      <c r="E53" s="5" t="inlineStr">
        <is>
          <t>Extension: backend/app/Services/OwnerDashboardService.php</t>
        </is>
      </c>
      <c r="F53" s="5" t="inlineStr">
        <is>
          <t>BE+FE</t>
        </is>
      </c>
      <c r="G53" s="6" t="n">
        <v>1.75</v>
      </c>
      <c r="H53" s="5" t="inlineStr">
        <is>
          <t>No</t>
        </is>
      </c>
      <c r="I53" s="13" t="inlineStr">
        <is>
          <t>⬜ Todo</t>
        </is>
      </c>
      <c r="J53" s="13" t="inlineStr">
        <is>
          <t>feat/m4-1</t>
        </is>
      </c>
      <c r="K53" s="13" t="inlineStr"/>
      <c r="L53" s="13" t="inlineStr"/>
      <c r="M53" s="14" t="inlineStr">
        <is>
          <t>#237</t>
        </is>
      </c>
    </row>
    <row r="54">
      <c r="A54" s="5" t="inlineStr">
        <is>
          <t>4.2</t>
        </is>
      </c>
      <c r="B54" s="5" t="inlineStr">
        <is>
          <t>M4</t>
        </is>
      </c>
      <c r="C54" s="5" t="inlineStr">
        <is>
          <t>Next-month forecast via OLS linear regression with R² and a confidence score</t>
        </is>
      </c>
      <c r="D54" s="5" t="inlineStr">
        <is>
          <t>FR-DSH-07</t>
        </is>
      </c>
      <c r="E54" s="5" t="inlineStr">
        <is>
          <t>New</t>
        </is>
      </c>
      <c r="F54" s="5" t="inlineStr">
        <is>
          <t>BE</t>
        </is>
      </c>
      <c r="G54" s="6" t="n">
        <v>0.5</v>
      </c>
      <c r="H54" s="5" t="inlineStr">
        <is>
          <t>Yes</t>
        </is>
      </c>
      <c r="I54" s="13" t="inlineStr">
        <is>
          <t>⬜ Todo</t>
        </is>
      </c>
      <c r="J54" s="13" t="inlineStr">
        <is>
          <t>feat/m4-2</t>
        </is>
      </c>
      <c r="K54" s="13" t="inlineStr"/>
      <c r="L54" s="13" t="inlineStr"/>
      <c r="M54" s="14" t="inlineStr">
        <is>
          <t>#238</t>
        </is>
      </c>
    </row>
    <row r="55">
      <c r="A55" s="5" t="inlineStr">
        <is>
          <t>4.3</t>
        </is>
      </c>
      <c r="B55" s="5" t="inlineStr">
        <is>
          <t>M4</t>
        </is>
      </c>
      <c r="C55" s="5" t="inlineStr">
        <is>
          <t>Live monitor: online now, gaps, usage, trends; refresh every 30 s</t>
        </is>
      </c>
      <c r="D55" s="5" t="inlineStr">
        <is>
          <t>FR-NET-01..03</t>
        </is>
      </c>
      <c r="E55" s="5" t="inlineStr">
        <is>
          <t>New</t>
        </is>
      </c>
      <c r="F55" s="5" t="inlineStr">
        <is>
          <t>BE+FE</t>
        </is>
      </c>
      <c r="G55" s="6" t="n">
        <v>1</v>
      </c>
      <c r="H55" s="5" t="inlineStr">
        <is>
          <t>No</t>
        </is>
      </c>
      <c r="I55" s="13" t="inlineStr">
        <is>
          <t>⬜ Todo</t>
        </is>
      </c>
      <c r="J55" s="13" t="inlineStr">
        <is>
          <t>feat/m4-3</t>
        </is>
      </c>
      <c r="K55" s="13" t="inlineStr"/>
      <c r="L55" s="13" t="inlineStr"/>
      <c r="M55" s="14" t="inlineStr">
        <is>
          <t>#239</t>
        </is>
      </c>
    </row>
    <row r="56">
      <c r="A56" s="5" t="inlineStr">
        <is>
          <t>4.4</t>
        </is>
      </c>
      <c r="B56" s="5" t="inlineStr">
        <is>
          <t>M4</t>
        </is>
      </c>
      <c r="C56" s="5" t="inlineStr">
        <is>
          <t>Alerts center and its settings: counters, severity filter, pagination of 30, mark as read, rule configuration</t>
        </is>
      </c>
      <c r="D56" s="5" t="inlineStr">
        <is>
          <t>FR-ALR-01..02</t>
        </is>
      </c>
      <c r="E56" s="5" t="inlineStr">
        <is>
          <t>Extension: notification bell only</t>
        </is>
      </c>
      <c r="F56" s="5" t="inlineStr">
        <is>
          <t>BE+FE</t>
        </is>
      </c>
      <c r="G56" s="6" t="n">
        <v>0.75</v>
      </c>
      <c r="H56" s="5" t="inlineStr">
        <is>
          <t>No</t>
        </is>
      </c>
      <c r="I56" s="13" t="inlineStr">
        <is>
          <t>⬜ Todo</t>
        </is>
      </c>
      <c r="J56" s="13" t="inlineStr">
        <is>
          <t>feat/m4-4</t>
        </is>
      </c>
      <c r="K56" s="13" t="inlineStr"/>
      <c r="L56" s="13" t="inlineStr"/>
      <c r="M56" s="14" t="inlineStr">
        <is>
          <t>#240</t>
        </is>
      </c>
    </row>
    <row r="57">
      <c r="A57" s="5" t="inlineStr">
        <is>
          <t>4.5</t>
        </is>
      </c>
      <c r="B57" s="5" t="inlineStr">
        <is>
          <t>M4</t>
        </is>
      </c>
      <c r="C57" s="5" t="inlineStr">
        <is>
          <t>Donor fields for the subscriber: gender, education level (10), specialization (35), employment status, MikroTik username + profile completion wizard</t>
        </is>
      </c>
      <c r="D57" s="5" t="inlineStr">
        <is>
          <t>FR-MEM-06, ENT-Subscriber</t>
        </is>
      </c>
      <c r="E57" s="5" t="inlineStr">
        <is>
          <t>Extension: only gender exists</t>
        </is>
      </c>
      <c r="F57" s="5" t="inlineStr">
        <is>
          <t>BE+FE</t>
        </is>
      </c>
      <c r="G57" s="6" t="n">
        <v>0.75</v>
      </c>
      <c r="H57" s="5" t="inlineStr">
        <is>
          <t>No</t>
        </is>
      </c>
      <c r="I57" s="13" t="inlineStr">
        <is>
          <t>⬜ Todo</t>
        </is>
      </c>
      <c r="J57" s="13" t="inlineStr">
        <is>
          <t>feat/m4-5</t>
        </is>
      </c>
      <c r="K57" s="13" t="inlineStr"/>
      <c r="L57" s="13" t="inlineStr"/>
      <c r="M57" s="14" t="inlineStr">
        <is>
          <t>#241</t>
        </is>
      </c>
    </row>
    <row r="58">
      <c r="A58" s="5" t="inlineStr">
        <is>
          <t>4.6</t>
        </is>
      </c>
      <c r="B58" s="5" t="inlineStr">
        <is>
          <t>M4</t>
        </is>
      </c>
      <c r="C58" s="5" t="inlineStr">
        <is>
          <t>Members hub — Today/Subscribers/Weekly/This month/Calendar: daily capacity, contracted vs actual, hourly load with 70% and 90% thresholds</t>
        </is>
      </c>
      <c r="D58" s="5" t="inlineStr">
        <is>
          <t>FR-MEM-01..02</t>
        </is>
      </c>
      <c r="E58" s="5" t="inlineStr">
        <is>
          <t>Extension: frontend/src/components/features/owner/MembersTable.tsx</t>
        </is>
      </c>
      <c r="F58" s="5" t="inlineStr">
        <is>
          <t>BE+FE</t>
        </is>
      </c>
      <c r="G58" s="6" t="n">
        <v>1.25</v>
      </c>
      <c r="H58" s="5" t="inlineStr">
        <is>
          <t>No</t>
        </is>
      </c>
      <c r="I58" s="13" t="inlineStr">
        <is>
          <t>⬜ Todo</t>
        </is>
      </c>
      <c r="J58" s="13" t="inlineStr">
        <is>
          <t>feat/m4-6</t>
        </is>
      </c>
      <c r="K58" s="13" t="inlineStr"/>
      <c r="L58" s="13" t="inlineStr"/>
      <c r="M58" s="14" t="inlineStr">
        <is>
          <t>#242</t>
        </is>
      </c>
    </row>
    <row r="59">
      <c r="A59" s="5" t="inlineStr">
        <is>
          <t>4.7</t>
        </is>
      </c>
      <c r="B59" s="5" t="inlineStr">
        <is>
          <t>M4</t>
        </is>
      </c>
      <c r="C59" s="5" t="inlineStr">
        <is>
          <t>Contracts: ContractStateMachine (draft→active↔suspended→expired/cancelled), grace days, auto-renewal, extension, bulk renewal of eligible contracts, 14-day alert (instead of 3), state history</t>
        </is>
      </c>
      <c r="D59" s="5" t="inlineStr">
        <is>
          <t>FR-MEM-03, FLOW-4</t>
        </is>
      </c>
      <c r="E59" s="5" t="inlineStr">
        <is>
          <t>Extension: backend/app/Services/OwnerSubscriptionService.php</t>
        </is>
      </c>
      <c r="F59" s="5" t="inlineStr">
        <is>
          <t>BE+FE</t>
        </is>
      </c>
      <c r="G59" s="6" t="n">
        <v>1.5</v>
      </c>
      <c r="H59" s="5" t="inlineStr">
        <is>
          <t>No</t>
        </is>
      </c>
      <c r="I59" s="13" t="inlineStr">
        <is>
          <t>⬜ Todo</t>
        </is>
      </c>
      <c r="J59" s="13" t="inlineStr">
        <is>
          <t>feat/m4-7</t>
        </is>
      </c>
      <c r="K59" s="13" t="inlineStr"/>
      <c r="L59" s="13" t="inlineStr"/>
      <c r="M59" s="14" t="inlineStr">
        <is>
          <t>#243</t>
        </is>
      </c>
    </row>
    <row r="60">
      <c r="A60" s="5" t="inlineStr">
        <is>
          <t>4.8</t>
        </is>
      </c>
      <c r="B60" s="5" t="inlineStr">
        <is>
          <t>M4</t>
        </is>
      </c>
      <c r="C60" s="5" t="inlineStr">
        <is>
          <t>The six subscription types (monthly, weekly, daily, hourly, visitor, staff) + contracted hours</t>
        </is>
      </c>
      <c r="D60" s="5" t="inlineStr">
        <is>
          <t>§2.3, SUBTYPE</t>
        </is>
      </c>
      <c r="E60" s="5" t="inlineStr">
        <is>
          <t>Extension: backend/app/Enums/PlanType.php (monthly/daily/custom)</t>
        </is>
      </c>
      <c r="F60" s="5" t="inlineStr">
        <is>
          <t>BE</t>
        </is>
      </c>
      <c r="G60" s="6" t="n">
        <v>0.5</v>
      </c>
      <c r="H60" s="5" t="inlineStr">
        <is>
          <t>No</t>
        </is>
      </c>
      <c r="I60" s="13" t="inlineStr">
        <is>
          <t>⬜ Todo</t>
        </is>
      </c>
      <c r="J60" s="13" t="inlineStr">
        <is>
          <t>feat/m4-8</t>
        </is>
      </c>
      <c r="K60" s="13" t="inlineStr"/>
      <c r="L60" s="13" t="inlineStr"/>
      <c r="M60" s="14" t="inlineStr">
        <is>
          <t>#244</t>
        </is>
      </c>
    </row>
    <row r="61">
      <c r="A61" s="5" t="inlineStr">
        <is>
          <t>4.9</t>
        </is>
      </c>
      <c r="B61" s="5" t="inlineStr">
        <is>
          <t>M4</t>
        </is>
      </c>
      <c r="C61" s="5" t="inlineStr">
        <is>
          <t>Live visitors: devices without an active subscription, "revenue gap" in hours, suggested subscription type (from the 4.8 types), "Subscribe" button</t>
        </is>
      </c>
      <c r="D61" s="5" t="inlineStr">
        <is>
          <t>FR-MEM-04, FLOW-2</t>
        </is>
      </c>
      <c r="E61" s="5" t="inlineStr">
        <is>
          <t>New</t>
        </is>
      </c>
      <c r="F61" s="5" t="inlineStr">
        <is>
          <t>BE+FE</t>
        </is>
      </c>
      <c r="G61" s="6" t="n">
        <v>0.75</v>
      </c>
      <c r="H61" s="5" t="inlineStr">
        <is>
          <t>No</t>
        </is>
      </c>
      <c r="I61" s="13" t="inlineStr">
        <is>
          <t>⬜ Todo</t>
        </is>
      </c>
      <c r="J61" s="13" t="inlineStr">
        <is>
          <t>feat/m4-9</t>
        </is>
      </c>
      <c r="K61" s="13" t="inlineStr"/>
      <c r="L61" s="13" t="inlineStr"/>
      <c r="M61" s="14" t="inlineStr">
        <is>
          <t>#245</t>
        </is>
      </c>
    </row>
    <row r="62">
      <c r="A62" s="5" t="inlineStr">
        <is>
          <t>4.10</t>
        </is>
      </c>
      <c r="B62" s="5" t="inlineStr">
        <is>
          <t>M4</t>
        </is>
      </c>
      <c r="C62" s="5" t="inlineStr">
        <is>
          <t>Bulk management + "Smart auto-detection" of the subscription type + CSV export</t>
        </is>
      </c>
      <c r="D62" s="5" t="inlineStr">
        <is>
          <t>FR-MEM-07</t>
        </is>
      </c>
      <c r="E62" s="5" t="inlineStr">
        <is>
          <t>New</t>
        </is>
      </c>
      <c r="F62" s="5" t="inlineStr">
        <is>
          <t>BE+FE</t>
        </is>
      </c>
      <c r="G62" s="6" t="n">
        <v>0.75</v>
      </c>
      <c r="H62" s="5" t="inlineStr">
        <is>
          <t>No</t>
        </is>
      </c>
      <c r="I62" s="13" t="inlineStr">
        <is>
          <t>⬜ Todo</t>
        </is>
      </c>
      <c r="J62" s="13" t="inlineStr">
        <is>
          <t>feat/m4-10</t>
        </is>
      </c>
      <c r="K62" s="13" t="inlineStr"/>
      <c r="L62" s="13" t="inlineStr"/>
      <c r="M62" s="14" t="inlineStr">
        <is>
          <t>#246</t>
        </is>
      </c>
    </row>
    <row r="63">
      <c r="A63" s="5" t="inlineStr">
        <is>
          <t>4.11</t>
        </is>
      </c>
      <c r="B63" s="5" t="inlineStr">
        <is>
          <t>M4</t>
        </is>
      </c>
      <c r="C63" s="5" t="inlineStr">
        <is>
          <t>Subscriber profile /subscribers/{id}: overview, subscription, scores, activity, peer comparison, loyalty and strength, activity calendar, devices; the "UTR analysis" tab is enabled in M6 and the finance tab in 5.23</t>
        </is>
      </c>
      <c r="D63" s="5" t="inlineStr">
        <is>
          <t>FR-MEM-08</t>
        </is>
      </c>
      <c r="E63" s="5" t="inlineStr">
        <is>
          <t>Extension: frontend/src/components/features/owner/MemberDrawer.tsx</t>
        </is>
      </c>
      <c r="F63" s="5" t="inlineStr">
        <is>
          <t>BE+FE</t>
        </is>
      </c>
      <c r="G63" s="6" t="n">
        <v>1.25</v>
      </c>
      <c r="H63" s="5" t="inlineStr">
        <is>
          <t>No</t>
        </is>
      </c>
      <c r="I63" s="13" t="inlineStr">
        <is>
          <t>⬜ Todo</t>
        </is>
      </c>
      <c r="J63" s="13" t="inlineStr">
        <is>
          <t>feat/m4-11</t>
        </is>
      </c>
      <c r="K63" s="13" t="inlineStr"/>
      <c r="L63" s="13" t="inlineStr"/>
      <c r="M63" s="14" t="inlineStr">
        <is>
          <t>#247</t>
        </is>
      </c>
    </row>
    <row r="64">
      <c r="A64" s="5" t="inlineStr">
        <is>
          <t>4.12</t>
        </is>
      </c>
      <c r="B64" s="5" t="inlineStr">
        <is>
          <t>M4</t>
        </is>
      </c>
      <c r="C64" s="5" t="inlineStr">
        <is>
          <t>Subscribers — monthly financial accounts: days, attendance %, hours, GB, plan; search and sort by six criteria; cards — the "Unbilled" and "Balance" columns and the wallets card appear with finance_v2 (M5)</t>
        </is>
      </c>
      <c r="D64" s="5" t="inlineStr">
        <is>
          <t>FR-SUB-01..03</t>
        </is>
      </c>
      <c r="E64" s="5" t="inlineStr">
        <is>
          <t>New</t>
        </is>
      </c>
      <c r="F64" s="5" t="inlineStr">
        <is>
          <t>BE+FE</t>
        </is>
      </c>
      <c r="G64" s="6" t="n">
        <v>0.75</v>
      </c>
      <c r="H64" s="5" t="inlineStr">
        <is>
          <t>No</t>
        </is>
      </c>
      <c r="I64" s="13" t="inlineStr">
        <is>
          <t>⬜ Todo</t>
        </is>
      </c>
      <c r="J64" s="13" t="inlineStr">
        <is>
          <t>feat/m4-12</t>
        </is>
      </c>
      <c r="K64" s="13" t="inlineStr"/>
      <c r="L64" s="13" t="inlineStr"/>
      <c r="M64" s="14" t="inlineStr">
        <is>
          <t>#248</t>
        </is>
      </c>
    </row>
    <row r="65">
      <c r="A65" s="5" t="inlineStr">
        <is>
          <t>4.13</t>
        </is>
      </c>
      <c r="B65" s="5" t="inlineStr">
        <is>
          <t>M4</t>
        </is>
      </c>
      <c r="C65" s="5" t="inlineStr">
        <is>
          <t>Monthly roster: populate from subscribers, copy last month, Gift Hours, hours reserved from capacity</t>
        </is>
      </c>
      <c r="D65" s="5" t="inlineStr">
        <is>
          <t>FR-MEM-09, ENT-Roster</t>
        </is>
      </c>
      <c r="E65" s="5" t="inlineStr">
        <is>
          <t>New</t>
        </is>
      </c>
      <c r="F65" s="5" t="inlineStr">
        <is>
          <t>BE+FE</t>
        </is>
      </c>
      <c r="G65" s="6" t="n">
        <v>1</v>
      </c>
      <c r="H65" s="5" t="inlineStr">
        <is>
          <t>No</t>
        </is>
      </c>
      <c r="I65" s="13" t="inlineStr">
        <is>
          <t>⬜ Todo</t>
        </is>
      </c>
      <c r="J65" s="13" t="inlineStr">
        <is>
          <t>feat/m4-13</t>
        </is>
      </c>
      <c r="K65" s="13" t="inlineStr"/>
      <c r="L65" s="13" t="inlineStr"/>
      <c r="M65" s="14" t="inlineStr">
        <is>
          <t>#249</t>
        </is>
      </c>
    </row>
    <row r="66">
      <c r="A66" s="5" t="inlineStr">
        <is>
          <t>4.14</t>
        </is>
      </c>
      <c r="B66" s="5" t="inlineStr">
        <is>
          <t>M4</t>
        </is>
      </c>
      <c r="C66" s="5" t="inlineStr">
        <is>
          <t>Booking hub: timeline/calendar/contracts/attendance; new booking (subscriber, type, station, period, hours); attendance confirmation, manual or automatic via the network, with undo; new contract with the month's booking; reason required for exceeding hours; monthly summary and AUTO sync</t>
        </is>
      </c>
      <c r="D66" s="5" t="inlineStr">
        <is>
          <t>FR-BKG-01..06</t>
        </is>
      </c>
      <c r="E66" s="5" t="inlineStr">
        <is>
          <t>New</t>
        </is>
      </c>
      <c r="F66" s="5" t="inlineStr">
        <is>
          <t>BE+FE</t>
        </is>
      </c>
      <c r="G66" s="6" t="n">
        <v>1.5</v>
      </c>
      <c r="H66" s="5" t="inlineStr">
        <is>
          <t>No</t>
        </is>
      </c>
      <c r="I66" s="13" t="inlineStr">
        <is>
          <t>⬜ Todo</t>
        </is>
      </c>
      <c r="J66" s="13" t="inlineStr">
        <is>
          <t>feat/m4-14</t>
        </is>
      </c>
      <c r="K66" s="13" t="inlineStr"/>
      <c r="L66" s="13" t="inlineStr"/>
      <c r="M66" s="14" t="inlineStr">
        <is>
          <t>#250</t>
        </is>
      </c>
    </row>
    <row r="67">
      <c r="A67" s="5" t="inlineStr">
        <is>
          <t>4.15</t>
        </is>
      </c>
      <c r="B67" s="5" t="inlineStr">
        <is>
          <t>M4</t>
        </is>
      </c>
      <c r="C67" s="5" t="inlineStr">
        <is>
          <t>Stations: extend Seat (type, zone, capacity, privacy, affiliation, branch), bulk add (start/count/prefix), Inventory/Now/Month/Branches tabs</t>
        </is>
      </c>
      <c r="D67" s="5" t="inlineStr">
        <is>
          <t>FR-STN-01..02, ENT-Station</t>
        </is>
      </c>
      <c r="E67" s="5" t="inlineStr">
        <is>
          <t>Extension: backend/app/Services/SeatService.php</t>
        </is>
      </c>
      <c r="F67" s="5" t="inlineStr">
        <is>
          <t>BE+FE</t>
        </is>
      </c>
      <c r="G67" s="6" t="n">
        <v>1</v>
      </c>
      <c r="H67" s="5" t="inlineStr">
        <is>
          <t>No</t>
        </is>
      </c>
      <c r="I67" s="13" t="inlineStr">
        <is>
          <t>⬜ Todo</t>
        </is>
      </c>
      <c r="J67" s="13" t="inlineStr">
        <is>
          <t>feat/m4-15</t>
        </is>
      </c>
      <c r="K67" s="13" t="inlineStr"/>
      <c r="L67" s="13" t="inlineStr"/>
      <c r="M67" s="14" t="inlineStr">
        <is>
          <t>#251</t>
        </is>
      </c>
    </row>
    <row r="68">
      <c r="A68" s="5" t="inlineStr">
        <is>
          <t>4.16</t>
        </is>
      </c>
      <c r="B68" s="5" t="inlineStr">
        <is>
          <t>M4</t>
        </is>
      </c>
      <c r="C68" s="5" t="inlineStr">
        <is>
          <t>Meeting room bookings: make meeting_room resources bookable, statuses (pending/approved/rejected/cancelled/upcoming), conflict and overlap prevention, search and date filtering</t>
        </is>
      </c>
      <c r="D68" s="5" t="inlineStr">
        <is>
          <t>FR-RMB-01..02</t>
        </is>
      </c>
      <c r="E68" s="5" t="inlineStr">
        <is>
          <t>Extension: backend/app/Services/ResourceService.php</t>
        </is>
      </c>
      <c r="F68" s="5" t="inlineStr">
        <is>
          <t>BE+FE</t>
        </is>
      </c>
      <c r="G68" s="6" t="n">
        <v>0.75</v>
      </c>
      <c r="H68" s="5" t="inlineStr">
        <is>
          <t>No</t>
        </is>
      </c>
      <c r="I68" s="13" t="inlineStr">
        <is>
          <t>⬜ Todo</t>
        </is>
      </c>
      <c r="J68" s="13" t="inlineStr">
        <is>
          <t>feat/m4-16</t>
        </is>
      </c>
      <c r="K68" s="13" t="inlineStr"/>
      <c r="L68" s="13" t="inlineStr"/>
      <c r="M68" s="14" t="inlineStr">
        <is>
          <t>#252</t>
        </is>
      </c>
    </row>
    <row r="69">
      <c r="A69" s="5" t="inlineStr">
        <is>
          <t>4.17</t>
        </is>
      </c>
      <c r="B69" s="5" t="inlineStr">
        <is>
          <t>M4</t>
        </is>
      </c>
      <c r="C69" s="5" t="inlineStr">
        <is>
          <t>Subscription requests: statuses (pending, approved, rejected, available, cancelled) and backend preparation for requests without an account (the public form is in 10.3)</t>
        </is>
      </c>
      <c r="D69" s="5" t="inlineStr">
        <is>
          <t>FR-REQ-01, FLOW-1</t>
        </is>
      </c>
      <c r="E69" s="5" t="inlineStr">
        <is>
          <t>Extension: backend/app/Services/BookingService.php</t>
        </is>
      </c>
      <c r="F69" s="5" t="inlineStr">
        <is>
          <t>BE+FE</t>
        </is>
      </c>
      <c r="G69" s="6" t="n">
        <v>0.5</v>
      </c>
      <c r="H69" s="5" t="inlineStr">
        <is>
          <t>No</t>
        </is>
      </c>
      <c r="I69" s="13" t="inlineStr">
        <is>
          <t>⬜ Todo</t>
        </is>
      </c>
      <c r="J69" s="13" t="inlineStr">
        <is>
          <t>feat/m4-17</t>
        </is>
      </c>
      <c r="K69" s="13" t="inlineStr"/>
      <c r="L69" s="13" t="inlineStr"/>
      <c r="M69" s="14" t="inlineStr">
        <is>
          <t>#253</t>
        </is>
      </c>
    </row>
    <row r="70">
      <c r="A70" s="5" t="inlineStr">
        <is>
          <t>5.1</t>
        </is>
      </c>
      <c r="B70" s="5" t="inlineStr">
        <is>
          <t>M5</t>
        </is>
      </c>
      <c r="C70" s="5" t="inlineStr">
        <is>
          <t>Catalog: catalog_categories (sales/expenses, immutable code, sort order, archiving) and catalog_items (code, Arabic/English name, unit piece/hour/day/month/GB, price) + link pos_products</t>
        </is>
      </c>
      <c r="D70" s="5" t="inlineStr">
        <is>
          <t>FIN-ITM, FIN-CAT</t>
        </is>
      </c>
      <c r="E70" s="5" t="inlineStr">
        <is>
          <t>Extension: POS products in backend/app/Services/Pos/</t>
        </is>
      </c>
      <c r="F70" s="5" t="inlineStr">
        <is>
          <t>BE+FE</t>
        </is>
      </c>
      <c r="G70" s="6" t="n">
        <v>1</v>
      </c>
      <c r="H70" s="5" t="inlineStr">
        <is>
          <t>No</t>
        </is>
      </c>
      <c r="I70" s="13" t="inlineStr">
        <is>
          <t>⬜ Todo</t>
        </is>
      </c>
      <c r="J70" s="13" t="inlineStr">
        <is>
          <t>feat/m5-1</t>
        </is>
      </c>
      <c r="K70" s="13" t="inlineStr"/>
      <c r="L70" s="13" t="inlineStr"/>
      <c r="M70" s="14" t="inlineStr">
        <is>
          <t>#254</t>
        </is>
      </c>
    </row>
    <row r="71">
      <c r="A71" s="5" t="inlineStr">
        <is>
          <t>5.2</t>
        </is>
      </c>
      <c r="B71" s="5" t="inlineStr">
        <is>
          <t>M5</t>
        </is>
      </c>
      <c r="C71" s="5" t="inlineStr">
        <is>
          <t>Plans: 6 pricing methods (fixed monthly/weekly/daily, by hours, by GB, package with a cap and validity), overage price, dedicated seat, special offer until a date, archive/delete</t>
        </is>
      </c>
      <c r="D71" s="5" t="inlineStr">
        <is>
          <t>FIN-PLN, BR-FIN-04</t>
        </is>
      </c>
      <c r="E71" s="5" t="inlineStr">
        <is>
          <t>Extension: backend/app/Services/SeatTypePricingService.php</t>
        </is>
      </c>
      <c r="F71" s="5" t="inlineStr">
        <is>
          <t>BE+FE</t>
        </is>
      </c>
      <c r="G71" s="6" t="n">
        <v>1</v>
      </c>
      <c r="H71" s="5" t="inlineStr">
        <is>
          <t>No</t>
        </is>
      </c>
      <c r="I71" s="13" t="inlineStr">
        <is>
          <t>⬜ Todo</t>
        </is>
      </c>
      <c r="J71" s="13" t="inlineStr">
        <is>
          <t>feat/m5-2</t>
        </is>
      </c>
      <c r="K71" s="13" t="inlineStr"/>
      <c r="L71" s="13" t="inlineStr"/>
      <c r="M71" s="14" t="inlineStr">
        <is>
          <t>#255</t>
        </is>
      </c>
    </row>
    <row r="72">
      <c r="A72" s="5" t="inlineStr">
        <is>
          <t>5.3</t>
        </is>
      </c>
      <c r="B72" s="5" t="inlineStr">
        <is>
          <t>M5</t>
        </is>
      </c>
      <c r="C72" s="5" t="inlineStr">
        <is>
          <t>Financial subscription of the contract: prepaid/postpaid, special price, contracted hours, seat</t>
        </is>
      </c>
      <c r="D72" s="5" t="inlineStr">
        <is>
          <t>§3.3, FR-FIN-01</t>
        </is>
      </c>
      <c r="E72" s="5" t="inlineStr">
        <is>
          <t>Extension: backend/app/Models/Subscription.php</t>
        </is>
      </c>
      <c r="F72" s="5" t="inlineStr">
        <is>
          <t>BE</t>
        </is>
      </c>
      <c r="G72" s="6" t="n">
        <v>0.75</v>
      </c>
      <c r="H72" s="5" t="inlineStr">
        <is>
          <t>No</t>
        </is>
      </c>
      <c r="I72" s="13" t="inlineStr">
        <is>
          <t>⬜ Todo</t>
        </is>
      </c>
      <c r="J72" s="13" t="inlineStr">
        <is>
          <t>feat/m5-3</t>
        </is>
      </c>
      <c r="K72" s="13" t="inlineStr"/>
      <c r="L72" s="13" t="inlineStr"/>
      <c r="M72" s="14" t="inlineStr">
        <is>
          <t>#256</t>
        </is>
      </c>
    </row>
    <row r="73">
      <c r="A73" s="5" t="inlineStr">
        <is>
          <t>5.4</t>
        </is>
      </c>
      <c r="B73" s="5" t="inlineStr">
        <is>
          <t>M5</t>
        </is>
      </c>
      <c r="C73" s="5" t="inlineStr">
        <is>
          <t>Unbilled charges unbilled_charges (POS "Add to account", import, extra hours, overage)</t>
        </is>
      </c>
      <c r="D73" s="5" t="inlineStr">
        <is>
          <t>FLOW-3</t>
        </is>
      </c>
      <c r="E73" s="5" t="inlineStr">
        <is>
          <t>New</t>
        </is>
      </c>
      <c r="F73" s="5" t="inlineStr">
        <is>
          <t>BE</t>
        </is>
      </c>
      <c r="G73" s="6" t="n">
        <v>0.5</v>
      </c>
      <c r="H73" s="5" t="inlineStr">
        <is>
          <t>No</t>
        </is>
      </c>
      <c r="I73" s="13" t="inlineStr">
        <is>
          <t>⬜ Todo</t>
        </is>
      </c>
      <c r="J73" s="13" t="inlineStr">
        <is>
          <t>feat/m5-4</t>
        </is>
      </c>
      <c r="K73" s="13" t="inlineStr"/>
      <c r="L73" s="13" t="inlineStr"/>
      <c r="M73" s="14" t="inlineStr">
        <is>
          <t>#257</t>
        </is>
      </c>
    </row>
    <row r="74">
      <c r="A74" s="5" t="inlineStr">
        <is>
          <t>5.5</t>
        </is>
      </c>
      <c r="B74" s="5" t="inlineStr">
        <is>
          <t>M5</t>
        </is>
      </c>
      <c r="C74" s="5" t="inlineStr">
        <is>
          <t>Invoices v2: invoice_lines line items, draft→issued→voided, payment_status, document_sequences numbering, no editing or deletion after issue (hard delete replaced by voiding), 2FA step-up, legacy status sync + migration of existing invoices</t>
        </is>
      </c>
      <c r="D74" s="5" t="inlineStr">
        <is>
          <t>FIN-INV, BR-FIN-01</t>
        </is>
      </c>
      <c r="E74" s="5" t="inlineStr">
        <is>
          <t>Extension: backend/app/Services/InvoiceService.php</t>
        </is>
      </c>
      <c r="F74" s="5" t="inlineStr">
        <is>
          <t>BE</t>
        </is>
      </c>
      <c r="G74" s="6" t="n">
        <v>1.75</v>
      </c>
      <c r="H74" s="5" t="inlineStr">
        <is>
          <t>No</t>
        </is>
      </c>
      <c r="I74" s="13" t="inlineStr">
        <is>
          <t>⬜ Todo</t>
        </is>
      </c>
      <c r="J74" s="13" t="inlineStr">
        <is>
          <t>feat/m5-5</t>
        </is>
      </c>
      <c r="K74" s="13" t="inlineStr"/>
      <c r="L74" s="13" t="inlineStr"/>
      <c r="M74" s="14" t="inlineStr">
        <is>
          <t>#258</t>
        </is>
      </c>
    </row>
    <row r="75">
      <c r="A75" s="5" t="inlineStr">
        <is>
          <t>5.6</t>
        </is>
      </c>
      <c r="B75" s="5" t="inlineStr">
        <is>
          <t>M5</t>
        </is>
      </c>
      <c r="C75" s="5" t="inlineStr">
        <is>
          <t>Monthly bulk invoice run invoice_runs (preview → drafts → issue) replacing invoices:generate-monthly + manual invoice + overdue filter + invoices UI</t>
        </is>
      </c>
      <c r="D75" s="5" t="inlineStr">
        <is>
          <t>FIN-INV</t>
        </is>
      </c>
      <c r="E75" s="5" t="inlineStr">
        <is>
          <t>Extension: backend/app/Console/Commands/GenerateMonthlyInvoices.php</t>
        </is>
      </c>
      <c r="F75" s="5" t="inlineStr">
        <is>
          <t>BE+FE</t>
        </is>
      </c>
      <c r="G75" s="6" t="n">
        <v>1.25</v>
      </c>
      <c r="H75" s="5" t="inlineStr">
        <is>
          <t>No</t>
        </is>
      </c>
      <c r="I75" s="13" t="inlineStr">
        <is>
          <t>⬜ Todo</t>
        </is>
      </c>
      <c r="J75" s="13" t="inlineStr">
        <is>
          <t>feat/m5-6</t>
        </is>
      </c>
      <c r="K75" s="13" t="inlineStr"/>
      <c r="L75" s="13" t="inlineStr"/>
      <c r="M75" s="14" t="inlineStr">
        <is>
          <t>#259</t>
        </is>
      </c>
    </row>
    <row r="76">
      <c r="A76" s="5" t="inlineStr">
        <is>
          <t>5.7</t>
        </is>
      </c>
      <c r="B76" s="5" t="inlineStr">
        <is>
          <t>M5</t>
        </is>
      </c>
      <c r="C76" s="5" t="inlineStr">
        <is>
          <t>Receipts receipts + receipt_allocations (allocation across invoices), methods cash/card/transfer/cheque, cheque lifecycle, sorting by collection/receipt date + migration of invoice_payments</t>
        </is>
      </c>
      <c r="D76" s="5" t="inlineStr">
        <is>
          <t>FIN-RCP</t>
        </is>
      </c>
      <c r="E76" s="5" t="inlineStr">
        <is>
          <t>Extension: existing partial payments and receipt review</t>
        </is>
      </c>
      <c r="F76" s="5" t="inlineStr">
        <is>
          <t>BE+FE</t>
        </is>
      </c>
      <c r="G76" s="6" t="n">
        <v>1.5</v>
      </c>
      <c r="H76" s="5" t="inlineStr">
        <is>
          <t>No</t>
        </is>
      </c>
      <c r="I76" s="13" t="inlineStr">
        <is>
          <t>⬜ Todo</t>
        </is>
      </c>
      <c r="J76" s="13" t="inlineStr">
        <is>
          <t>feat/m5-7</t>
        </is>
      </c>
      <c r="K76" s="13" t="inlineStr"/>
      <c r="L76" s="13" t="inlineStr"/>
      <c r="M76" s="14" t="inlineStr">
        <is>
          <t>#260</t>
        </is>
      </c>
    </row>
    <row r="77">
      <c r="A77" s="5" t="inlineStr">
        <is>
          <t>5.8</t>
        </is>
      </c>
      <c r="B77" s="5" t="inlineStr">
        <is>
          <t>M5</t>
        </is>
      </c>
      <c r="C77" s="5" t="inlineStr">
        <is>
          <t>Credit notes (linked to the invoice + reason)</t>
        </is>
      </c>
      <c r="D77" s="5" t="inlineStr">
        <is>
          <t>FIN-CN, BR-FIN-01</t>
        </is>
      </c>
      <c r="E77" s="5" t="inlineStr">
        <is>
          <t>New</t>
        </is>
      </c>
      <c r="F77" s="5" t="inlineStr">
        <is>
          <t>BE+FE</t>
        </is>
      </c>
      <c r="G77" s="6" t="n">
        <v>0.5</v>
      </c>
      <c r="H77" s="5" t="inlineStr">
        <is>
          <t>No</t>
        </is>
      </c>
      <c r="I77" s="13" t="inlineStr">
        <is>
          <t>⬜ Todo</t>
        </is>
      </c>
      <c r="J77" s="13" t="inlineStr">
        <is>
          <t>feat/m5-8</t>
        </is>
      </c>
      <c r="K77" s="13" t="inlineStr"/>
      <c r="L77" s="13" t="inlineStr"/>
      <c r="M77" s="14" t="inlineStr">
        <is>
          <t>#261</t>
        </is>
      </c>
    </row>
    <row r="78">
      <c r="A78" s="5" t="inlineStr">
        <is>
          <t>5.9</t>
        </is>
      </c>
      <c r="B78" s="5" t="inlineStr">
        <is>
          <t>M5</t>
        </is>
      </c>
      <c r="C78" s="5" t="inlineStr">
        <is>
          <t>Wallet and deposit wallet_entries (receive, refund, settle, forfeit) + payment vouchers payment_vouchers</t>
        </is>
      </c>
      <c r="D78" s="5" t="inlineStr">
        <is>
          <t>FIN-PV</t>
        </is>
      </c>
      <c r="E78" s="5" t="inlineStr">
        <is>
          <t>New</t>
        </is>
      </c>
      <c r="F78" s="5" t="inlineStr">
        <is>
          <t>BE+FE</t>
        </is>
      </c>
      <c r="G78" s="6" t="n">
        <v>1</v>
      </c>
      <c r="H78" s="5" t="inlineStr">
        <is>
          <t>No</t>
        </is>
      </c>
      <c r="I78" s="13" t="inlineStr">
        <is>
          <t>⬜ Todo</t>
        </is>
      </c>
      <c r="J78" s="13" t="inlineStr">
        <is>
          <t>feat/m5-9</t>
        </is>
      </c>
      <c r="K78" s="13" t="inlineStr"/>
      <c r="L78" s="13" t="inlineStr"/>
      <c r="M78" s="14" t="inlineStr">
        <is>
          <t>#262</t>
        </is>
      </c>
    </row>
    <row r="79">
      <c r="A79" s="5" t="inlineStr">
        <is>
          <t>5.10</t>
        </is>
      </c>
      <c r="B79" s="5" t="inlineStr">
        <is>
          <t>M5</t>
        </is>
      </c>
      <c r="C79" s="5" t="inlineStr">
        <is>
          <t>Point of sale v2: subscriber selection (F2), items from the catalog or manual with a discount and its reason, "Add to account" or "Collect" with the four methods, numeric keypad, seat usage</t>
        </is>
      </c>
      <c r="D79" s="5" t="inlineStr">
        <is>
          <t>FIN-POS</t>
        </is>
      </c>
      <c r="E79" s="5" t="inlineStr">
        <is>
          <t>Extension: backend/app/Services/Pos/PosOrderService.php</t>
        </is>
      </c>
      <c r="F79" s="5" t="inlineStr">
        <is>
          <t>BE+FE</t>
        </is>
      </c>
      <c r="G79" s="6" t="n">
        <v>1</v>
      </c>
      <c r="H79" s="5" t="inlineStr">
        <is>
          <t>No</t>
        </is>
      </c>
      <c r="I79" s="13" t="inlineStr">
        <is>
          <t>⬜ Todo</t>
        </is>
      </c>
      <c r="J79" s="13" t="inlineStr">
        <is>
          <t>feat/m5-10</t>
        </is>
      </c>
      <c r="K79" s="13" t="inlineStr"/>
      <c r="L79" s="13" t="inlineStr"/>
      <c r="M79" s="14" t="inlineStr">
        <is>
          <t>#263</t>
        </is>
      </c>
    </row>
    <row r="80">
      <c r="A80" s="5" t="inlineStr">
        <is>
          <t>5.11</t>
        </is>
      </c>
      <c r="B80" s="5" t="inlineStr">
        <is>
          <t>M5</t>
        </is>
      </c>
      <c r="C80" s="5" t="inlineStr">
        <is>
          <t>Collections: debt aging (0–90+), follow-ups with a note, "Cannot reach them" filter, reminders</t>
        </is>
      </c>
      <c r="D80" s="5" t="inlineStr">
        <is>
          <t>FIN-COL</t>
        </is>
      </c>
      <c r="E80" s="5" t="inlineStr">
        <is>
          <t>Extension: backend/app/Services/OwnerReportsService.php</t>
        </is>
      </c>
      <c r="F80" s="5" t="inlineStr">
        <is>
          <t>BE+FE</t>
        </is>
      </c>
      <c r="G80" s="6" t="n">
        <v>0.75</v>
      </c>
      <c r="H80" s="5" t="inlineStr">
        <is>
          <t>No</t>
        </is>
      </c>
      <c r="I80" s="13" t="inlineStr">
        <is>
          <t>⬜ Todo</t>
        </is>
      </c>
      <c r="J80" s="13" t="inlineStr">
        <is>
          <t>feat/m5-11</t>
        </is>
      </c>
      <c r="K80" s="13" t="inlineStr"/>
      <c r="L80" s="13" t="inlineStr"/>
      <c r="M80" s="14" t="inlineStr">
        <is>
          <t>#264</t>
        </is>
      </c>
    </row>
    <row r="81">
      <c r="A81" s="5" t="inlineStr">
        <is>
          <t>5.12</t>
        </is>
      </c>
      <c r="B81" s="5" t="inlineStr">
        <is>
          <t>M5</t>
        </is>
      </c>
      <c r="C81" s="5" t="inlineStr">
        <is>
          <t>Expenses v2: category from the catalog, payment method, reference, cancellation</t>
        </is>
      </c>
      <c r="D81" s="5" t="inlineStr">
        <is>
          <t>FIN-EXP</t>
        </is>
      </c>
      <c r="E81" s="5" t="inlineStr">
        <is>
          <t>Extension: backend/app/Services/ExpenseService.php</t>
        </is>
      </c>
      <c r="F81" s="5" t="inlineStr">
        <is>
          <t>BE+FE</t>
        </is>
      </c>
      <c r="G81" s="6" t="n">
        <v>0.25</v>
      </c>
      <c r="H81" s="5" t="inlineStr">
        <is>
          <t>No</t>
        </is>
      </c>
      <c r="I81" s="13" t="inlineStr">
        <is>
          <t>⬜ Todo</t>
        </is>
      </c>
      <c r="J81" s="13" t="inlineStr">
        <is>
          <t>feat/m5-12</t>
        </is>
      </c>
      <c r="K81" s="13" t="inlineStr"/>
      <c r="L81" s="13" t="inlineStr"/>
      <c r="M81" s="14" t="inlineStr">
        <is>
          <t>#265</t>
        </is>
      </c>
    </row>
    <row r="82">
      <c r="A82" s="5" t="inlineStr">
        <is>
          <t>5.13</t>
        </is>
      </c>
      <c r="B82" s="5" t="inlineStr">
        <is>
          <t>M5</t>
        </is>
      </c>
      <c r="C82" s="5" t="inlineStr">
        <is>
          <t>Cash-up: the day's movement per method (in/out/net) + cash-count calculator (not saved)</t>
        </is>
      </c>
      <c r="D82" s="5" t="inlineStr">
        <is>
          <t>FIN-CASH, BR-FIN-02</t>
        </is>
      </c>
      <c r="E82" s="5" t="inlineStr">
        <is>
          <t>New</t>
        </is>
      </c>
      <c r="F82" s="5" t="inlineStr">
        <is>
          <t>BE+FE</t>
        </is>
      </c>
      <c r="G82" s="6" t="n">
        <v>0.5</v>
      </c>
      <c r="H82" s="5" t="inlineStr">
        <is>
          <t>No</t>
        </is>
      </c>
      <c r="I82" s="13" t="inlineStr">
        <is>
          <t>⬜ Todo</t>
        </is>
      </c>
      <c r="J82" s="13" t="inlineStr">
        <is>
          <t>feat/m5-13</t>
        </is>
      </c>
      <c r="K82" s="13" t="inlineStr"/>
      <c r="L82" s="13" t="inlineStr"/>
      <c r="M82" s="14" t="inlineStr">
        <is>
          <t>#266</t>
        </is>
      </c>
    </row>
    <row r="83">
      <c r="A83" s="5" t="inlineStr">
        <is>
          <t>5.14</t>
        </is>
      </c>
      <c r="B83" s="5" t="inlineStr">
        <is>
          <t>M5</t>
        </is>
      </c>
      <c r="C83" s="5" t="inlineStr">
        <is>
          <t>Value-added tax (VAT): rate in settings, frozen at issue, accrual-basis period report, voided documents excluded, detail download</t>
        </is>
      </c>
      <c r="D83" s="5" t="inlineStr">
        <is>
          <t>FIN-VAT, BR-FIN-03</t>
        </is>
      </c>
      <c r="E83" s="5" t="inlineStr">
        <is>
          <t>New</t>
        </is>
      </c>
      <c r="F83" s="5" t="inlineStr">
        <is>
          <t>BE+FE</t>
        </is>
      </c>
      <c r="G83" s="6" t="n">
        <v>0.75</v>
      </c>
      <c r="H83" s="5" t="inlineStr">
        <is>
          <t>No</t>
        </is>
      </c>
      <c r="I83" s="13" t="inlineStr">
        <is>
          <t>⬜ Todo</t>
        </is>
      </c>
      <c r="J83" s="13" t="inlineStr">
        <is>
          <t>feat/m5-14</t>
        </is>
      </c>
      <c r="K83" s="13" t="inlineStr"/>
      <c r="L83" s="13" t="inlineStr"/>
      <c r="M83" s="14" t="inlineStr">
        <is>
          <t>#267</t>
        </is>
      </c>
    </row>
    <row r="84">
      <c r="A84" s="5" t="inlineStr">
        <is>
          <t>5.15</t>
        </is>
      </c>
      <c r="B84" s="5" t="inlineStr">
        <is>
          <t>M5</t>
        </is>
      </c>
      <c r="C84" s="5" t="inlineStr">
        <is>
          <t>Atomic XLSX import (single sheet, ≤ 2,000 rows, ≤ 5MB, no formulas) for the catalog and on-account charges: preview, then all-or-nothing commit with no duplicates (import_batches)</t>
        </is>
      </c>
      <c r="D84" s="5" t="inlineStr">
        <is>
          <t>FIN-IMP</t>
        </is>
      </c>
      <c r="E84" s="5" t="inlineStr">
        <is>
          <t>New</t>
        </is>
      </c>
      <c r="F84" s="5" t="inlineStr">
        <is>
          <t>BE+FE</t>
        </is>
      </c>
      <c r="G84" s="6" t="n">
        <v>1</v>
      </c>
      <c r="H84" s="5" t="inlineStr">
        <is>
          <t>No</t>
        </is>
      </c>
      <c r="I84" s="13" t="inlineStr">
        <is>
          <t>⬜ Todo</t>
        </is>
      </c>
      <c r="J84" s="13" t="inlineStr">
        <is>
          <t>feat/m5-15</t>
        </is>
      </c>
      <c r="K84" s="13" t="inlineStr"/>
      <c r="L84" s="13" t="inlineStr"/>
      <c r="M84" s="14" t="inlineStr">
        <is>
          <t>#268</t>
        </is>
      </c>
    </row>
    <row r="85">
      <c r="A85" s="5" t="inlineStr">
        <is>
          <t>5.16</t>
        </is>
      </c>
      <c r="B85" s="5" t="inlineStr">
        <is>
          <t>M5</t>
        </is>
      </c>
      <c r="C85" s="5" t="inlineStr">
        <is>
          <t>Organizations: a company that pays for its members, coverage terms, consolidated monthly invoice, tax number</t>
        </is>
      </c>
      <c r="D85" s="5" t="inlineStr">
        <is>
          <t>FIN-ORG, ENT-Organization</t>
        </is>
      </c>
      <c r="E85" s="5" t="inlineStr">
        <is>
          <t>New</t>
        </is>
      </c>
      <c r="F85" s="5" t="inlineStr">
        <is>
          <t>BE+FE</t>
        </is>
      </c>
      <c r="G85" s="6" t="n">
        <v>0.75</v>
      </c>
      <c r="H85" s="5" t="inlineStr">
        <is>
          <t>Yes</t>
        </is>
      </c>
      <c r="I85" s="13" t="inlineStr">
        <is>
          <t>⬜ Todo</t>
        </is>
      </c>
      <c r="J85" s="13" t="inlineStr">
        <is>
          <t>feat/m5-16</t>
        </is>
      </c>
      <c r="K85" s="13" t="inlineStr"/>
      <c r="L85" s="13" t="inlineStr"/>
      <c r="M85" s="14" t="inlineStr">
        <is>
          <t>#269</t>
        </is>
      </c>
    </row>
    <row r="86">
      <c r="A86" s="5" t="inlineStr">
        <is>
          <t>5.17</t>
        </is>
      </c>
      <c r="B86" s="5" t="inlineStr">
        <is>
          <t>M5</t>
        </is>
      </c>
      <c r="C86" s="5" t="inlineStr">
        <is>
          <t>Finance seats: today's occupancy, dedicated-seat revenue, statuses (available/dedicated/reserved for later/out of service), release of expired assignments, enforcement of BR-FIN-04</t>
        </is>
      </c>
      <c r="D86" s="5" t="inlineStr">
        <is>
          <t>FIN-SEAT, BR-FIN-04</t>
        </is>
      </c>
      <c r="E86" s="5" t="inlineStr">
        <is>
          <t>Extension: backend/app/Services/SeatService.php</t>
        </is>
      </c>
      <c r="F86" s="5" t="inlineStr">
        <is>
          <t>BE+FE</t>
        </is>
      </c>
      <c r="G86" s="6" t="n">
        <v>0.5</v>
      </c>
      <c r="H86" s="5" t="inlineStr">
        <is>
          <t>No</t>
        </is>
      </c>
      <c r="I86" s="13" t="inlineStr">
        <is>
          <t>⬜ Todo</t>
        </is>
      </c>
      <c r="J86" s="13" t="inlineStr">
        <is>
          <t>feat/m5-17</t>
        </is>
      </c>
      <c r="K86" s="13" t="inlineStr"/>
      <c r="L86" s="13" t="inlineStr"/>
      <c r="M86" s="14" t="inlineStr">
        <is>
          <t>#270</t>
        </is>
      </c>
    </row>
    <row r="87">
      <c r="A87" s="5" t="inlineStr">
        <is>
          <t>5.18</t>
        </is>
      </c>
      <c r="B87" s="5" t="inlineStr">
        <is>
          <t>M5</t>
        </is>
      </c>
      <c r="C87" s="5" t="inlineStr">
        <is>
          <t>Extra hours: after-hours charging rules, one-month preview before activation, generation of unbilled charges, independent of UR</t>
        </is>
      </c>
      <c r="D87" s="5" t="inlineStr">
        <is>
          <t>FIN-AH</t>
        </is>
      </c>
      <c r="E87" s="5" t="inlineStr">
        <is>
          <t>New</t>
        </is>
      </c>
      <c r="F87" s="5" t="inlineStr">
        <is>
          <t>BE+FE</t>
        </is>
      </c>
      <c r="G87" s="6" t="n">
        <v>0.75</v>
      </c>
      <c r="H87" s="5" t="inlineStr">
        <is>
          <t>Yes</t>
        </is>
      </c>
      <c r="I87" s="13" t="inlineStr">
        <is>
          <t>⬜ Todo</t>
        </is>
      </c>
      <c r="J87" s="13" t="inlineStr">
        <is>
          <t>feat/m5-18</t>
        </is>
      </c>
      <c r="K87" s="13" t="inlineStr"/>
      <c r="L87" s="13" t="inlineStr"/>
      <c r="M87" s="14" t="inlineStr">
        <is>
          <t>#271</t>
        </is>
      </c>
    </row>
    <row r="88">
      <c r="A88" s="5" t="inlineStr">
        <is>
          <t>5.19</t>
        </is>
      </c>
      <c r="B88" s="5" t="inlineStr">
        <is>
          <t>M5</t>
        </is>
      </c>
      <c r="C88" s="5" t="inlineStr">
        <is>
          <t>Finance dashboard: "Needs your attention", received/spent/cash result/billed unpaid (each card opens its records), receivables aging, tax details</t>
        </is>
      </c>
      <c r="D88" s="5" t="inlineStr">
        <is>
          <t>FR-FIN-01..03</t>
        </is>
      </c>
      <c r="E88" s="5" t="inlineStr">
        <is>
          <t>Extension: P&amp;L in backend/app/Services/OwnerReportsService.php</t>
        </is>
      </c>
      <c r="F88" s="5" t="inlineStr">
        <is>
          <t>BE+FE</t>
        </is>
      </c>
      <c r="G88" s="6" t="n">
        <v>0.75</v>
      </c>
      <c r="H88" s="5" t="inlineStr">
        <is>
          <t>No</t>
        </is>
      </c>
      <c r="I88" s="13" t="inlineStr">
        <is>
          <t>⬜ Todo</t>
        </is>
      </c>
      <c r="J88" s="13" t="inlineStr">
        <is>
          <t>feat/m5-19</t>
        </is>
      </c>
      <c r="K88" s="13" t="inlineStr"/>
      <c r="L88" s="13" t="inlineStr"/>
      <c r="M88" s="14" t="inlineStr">
        <is>
          <t>#272</t>
        </is>
      </c>
    </row>
    <row r="89">
      <c r="A89" s="5" t="inlineStr">
        <is>
          <t>5.20</t>
        </is>
      </c>
      <c r="B89" s="5" t="inlineStr">
        <is>
          <t>M5</t>
        </is>
      </c>
      <c r="C89" s="5" t="inlineStr">
        <is>
          <t>Financial activity log (17 action types, including deposit forfeiture and sending a reminder) on top of audit_logs</t>
        </is>
      </c>
      <c r="D89" s="5" t="inlineStr">
        <is>
          <t>FIN-ACT, NFR-AUDIT</t>
        </is>
      </c>
      <c r="E89" s="5" t="inlineStr">
        <is>
          <t>New</t>
        </is>
      </c>
      <c r="F89" s="5" t="inlineStr">
        <is>
          <t>BE+FE</t>
        </is>
      </c>
      <c r="G89" s="6" t="n">
        <v>0.5</v>
      </c>
      <c r="H89" s="5" t="inlineStr">
        <is>
          <t>No</t>
        </is>
      </c>
      <c r="I89" s="13" t="inlineStr">
        <is>
          <t>⬜ Todo</t>
        </is>
      </c>
      <c r="J89" s="13" t="inlineStr">
        <is>
          <t>feat/m5-20</t>
        </is>
      </c>
      <c r="K89" s="13" t="inlineStr"/>
      <c r="L89" s="13" t="inlineStr"/>
      <c r="M89" s="14" t="inlineStr">
        <is>
          <t>#273</t>
        </is>
      </c>
    </row>
    <row r="90">
      <c r="A90" s="5" t="inlineStr">
        <is>
          <t>5.21</t>
        </is>
      </c>
      <c r="B90" s="5" t="inlineStr">
        <is>
          <t>M5</t>
        </is>
      </c>
      <c r="C90" s="5" t="inlineStr">
        <is>
          <t>Staff finance permissions: view POS, on-account charges, collections, issue/void with 2FA, expenses, items, import, financial reports — extends the group map from 1.3</t>
        </is>
      </c>
      <c r="D90" s="5" t="inlineStr">
        <is>
          <t>§6</t>
        </is>
      </c>
      <c r="E90" s="5" t="inlineStr">
        <is>
          <t>Extension: backend/app/Enums/PosPermission.php</t>
        </is>
      </c>
      <c r="F90" s="5" t="inlineStr">
        <is>
          <t>BE</t>
        </is>
      </c>
      <c r="G90" s="6" t="n">
        <v>0.5</v>
      </c>
      <c r="H90" s="5" t="inlineStr">
        <is>
          <t>No</t>
        </is>
      </c>
      <c r="I90" s="13" t="inlineStr">
        <is>
          <t>⬜ Todo</t>
        </is>
      </c>
      <c r="J90" s="13" t="inlineStr">
        <is>
          <t>feat/m5-21</t>
        </is>
      </c>
      <c r="K90" s="13" t="inlineStr"/>
      <c r="L90" s="13" t="inlineStr"/>
      <c r="M90" s="14" t="inlineStr">
        <is>
          <t>#274</t>
        </is>
      </c>
    </row>
    <row r="91">
      <c r="A91" s="5" t="inlineStr">
        <is>
          <t>5.22</t>
        </is>
      </c>
      <c r="B91" s="5" t="inlineStr">
        <is>
          <t>M5</t>
        </is>
      </c>
      <c r="C91" s="5" t="inlineStr">
        <is>
          <t>Full-cycle test: subscription → charges → invoice → partial payment → credit note → refund + compatibility with legacy invoices and tests</t>
        </is>
      </c>
      <c r="D91" s="5" t="inlineStr">
        <is>
          <t>—</t>
        </is>
      </c>
      <c r="E91" s="5" t="inlineStr">
        <is>
          <t>New</t>
        </is>
      </c>
      <c r="F91" s="5" t="inlineStr">
        <is>
          <t>QA</t>
        </is>
      </c>
      <c r="G91" s="6" t="n">
        <v>1</v>
      </c>
      <c r="H91" s="5" t="inlineStr">
        <is>
          <t>No</t>
        </is>
      </c>
      <c r="I91" s="13" t="inlineStr">
        <is>
          <t>⬜ Todo</t>
        </is>
      </c>
      <c r="J91" s="13" t="inlineStr">
        <is>
          <t>feat/m5-22</t>
        </is>
      </c>
      <c r="K91" s="13" t="inlineStr"/>
      <c r="L91" s="13" t="inlineStr"/>
      <c r="M91" s="14" t="inlineStr">
        <is>
          <t>#275</t>
        </is>
      </c>
    </row>
    <row r="92">
      <c r="A92" s="5" t="inlineStr">
        <is>
          <t>5.23</t>
        </is>
      </c>
      <c r="B92" s="5" t="inlineStr">
        <is>
          <t>M5</t>
        </is>
      </c>
      <c r="C92" s="5" t="inlineStr">
        <is>
          <t>Subscriber financial profile: a wallet, deposit, unbilled charges, invoices, receipts and credit notes tab inside the subscriber profile (4.11)</t>
        </is>
      </c>
      <c r="D92" s="5" t="inlineStr">
        <is>
          <t>FR-MEM-08, §3.3</t>
        </is>
      </c>
      <c r="E92" s="5" t="inlineStr">
        <is>
          <t>New</t>
        </is>
      </c>
      <c r="F92" s="5" t="inlineStr">
        <is>
          <t>BE+FE</t>
        </is>
      </c>
      <c r="G92" s="6" t="n">
        <v>0.75</v>
      </c>
      <c r="H92" s="5" t="inlineStr">
        <is>
          <t>No</t>
        </is>
      </c>
      <c r="I92" s="13" t="inlineStr">
        <is>
          <t>⬜ Todo</t>
        </is>
      </c>
      <c r="J92" s="13" t="inlineStr">
        <is>
          <t>feat/m5-23</t>
        </is>
      </c>
      <c r="K92" s="13" t="inlineStr"/>
      <c r="L92" s="13" t="inlineStr"/>
      <c r="M92" s="14" t="inlineStr">
        <is>
          <t>#276</t>
        </is>
      </c>
    </row>
    <row r="93">
      <c r="A93" s="5" t="inlineStr">
        <is>
          <t>6.1</t>
        </is>
      </c>
      <c r="B93" s="5" t="inlineStr">
        <is>
          <t>M6</t>
        </is>
      </c>
      <c r="C93" s="5" t="inlineStr">
        <is>
          <t>CoWorkSpaces data importer (subscribers, devices, contracts, Roster, UTR) as a re-runnable artisan command with a reconciliation report</t>
        </is>
      </c>
      <c r="D93" s="5" t="inlineStr">
        <is>
          <t>§7.3</t>
        </is>
      </c>
      <c r="E93" s="5" t="inlineStr">
        <is>
          <t>New</t>
        </is>
      </c>
      <c r="F93" s="5" t="inlineStr">
        <is>
          <t>BE</t>
        </is>
      </c>
      <c r="G93" s="6" t="n">
        <v>1</v>
      </c>
      <c r="H93" s="5" t="inlineStr">
        <is>
          <t>No</t>
        </is>
      </c>
      <c r="I93" s="13" t="inlineStr">
        <is>
          <t>⬜ Todo</t>
        </is>
      </c>
      <c r="J93" s="13" t="inlineStr">
        <is>
          <t>feat/m6-1</t>
        </is>
      </c>
      <c r="K93" s="13" t="inlineStr"/>
      <c r="L93" s="13" t="inlineStr"/>
      <c r="M93" s="14" t="inlineStr">
        <is>
          <t>#277</t>
        </is>
      </c>
    </row>
    <row r="94">
      <c r="A94" s="5" t="inlineStr">
        <is>
          <t>6.2</t>
        </is>
      </c>
      <c r="B94" s="5" t="inlineStr">
        <is>
          <t>M6</t>
        </is>
      </c>
      <c r="C94" s="5" t="inlineStr">
        <is>
          <t>Parameter set (32 fields) and immutable capacity versions capacity_versions (Tmax) + change requests via approvals and Tmax/UR recalculation after approval</t>
        </is>
      </c>
      <c r="D94" s="5" t="inlineStr">
        <is>
          <t>ENT-ParameterSet, FR-SA-06, FLOW-5</t>
        </is>
      </c>
      <c r="E94" s="5" t="inlineStr">
        <is>
          <t>New</t>
        </is>
      </c>
      <c r="F94" s="5" t="inlineStr">
        <is>
          <t>BE+FE</t>
        </is>
      </c>
      <c r="G94" s="6" t="n">
        <v>1</v>
      </c>
      <c r="H94" s="5" t="inlineStr">
        <is>
          <t>No</t>
        </is>
      </c>
      <c r="I94" s="13" t="inlineStr">
        <is>
          <t>⬜ Todo</t>
        </is>
      </c>
      <c r="J94" s="13" t="inlineStr">
        <is>
          <t>feat/m6-2</t>
        </is>
      </c>
      <c r="K94" s="13" t="inlineStr"/>
      <c r="L94" s="13" t="inlineStr"/>
      <c r="M94" s="14" t="inlineStr">
        <is>
          <t>#278</t>
        </is>
      </c>
    </row>
    <row r="95">
      <c r="A95" s="5" t="inlineStr">
        <is>
          <t>6.3</t>
        </is>
      </c>
      <c r="B95" s="5" t="inlineStr">
        <is>
          <t>M6</t>
        </is>
      </c>
      <c r="C95" s="5" t="inlineStr">
        <is>
          <t>Approved holidays and their approval requests (their days are excluded from working days)</t>
        </is>
      </c>
      <c r="D95" s="5" t="inlineStr">
        <is>
          <t>FL-TP-HOLIDAY, ENT-Holiday</t>
        </is>
      </c>
      <c r="E95" s="5" t="inlineStr">
        <is>
          <t>New</t>
        </is>
      </c>
      <c r="F95" s="5" t="inlineStr">
        <is>
          <t>BE+FE</t>
        </is>
      </c>
      <c r="G95" s="6" t="n">
        <v>0.5</v>
      </c>
      <c r="H95" s="5" t="inlineStr">
        <is>
          <t>No</t>
        </is>
      </c>
      <c r="I95" s="13" t="inlineStr">
        <is>
          <t>⬜ Todo</t>
        </is>
      </c>
      <c r="J95" s="13" t="inlineStr">
        <is>
          <t>feat/m6-3</t>
        </is>
      </c>
      <c r="K95" s="13" t="inlineStr"/>
      <c r="L95" s="13" t="inlineStr"/>
      <c r="M95" s="14" t="inlineStr">
        <is>
          <t>#279</t>
        </is>
      </c>
    </row>
    <row r="96">
      <c r="A96" s="5" t="inlineStr">
        <is>
          <t>6.4</t>
        </is>
      </c>
      <c r="B96" s="5" t="inlineStr">
        <is>
          <t>M6</t>
        </is>
      </c>
      <c r="C96" s="5" t="inlineStr">
        <is>
          <t>UrCalculator (pure calculator with a pinned version): AR → C → max(Actual, Contract × C) → TypeW → ΣH / Tmax, RAW/UTD/EXPECTED/FINAL readings, Qualified-C, capacity 80×8×21 — test-first with golden tests (3.8% / 71.8%)</t>
        </is>
      </c>
      <c r="D96" s="5" t="inlineStr">
        <is>
          <t>FR-TRK-03, FR-UR-01</t>
        </is>
      </c>
      <c r="E96" s="5" t="inlineStr">
        <is>
          <t>New</t>
        </is>
      </c>
      <c r="F96" s="5" t="inlineStr">
        <is>
          <t>BE</t>
        </is>
      </c>
      <c r="G96" s="6" t="n">
        <v>2</v>
      </c>
      <c r="H96" s="5" t="inlineStr">
        <is>
          <t>No</t>
        </is>
      </c>
      <c r="I96" s="13" t="inlineStr">
        <is>
          <t>⬜ Todo</t>
        </is>
      </c>
      <c r="J96" s="13" t="inlineStr">
        <is>
          <t>feat/m6-4</t>
        </is>
      </c>
      <c r="K96" s="13" t="inlineStr"/>
      <c r="L96" s="13" t="inlineStr"/>
      <c r="M96" s="14" t="inlineStr">
        <is>
          <t>#280</t>
        </is>
      </c>
    </row>
    <row r="97">
      <c r="A97" s="5" t="inlineStr">
        <is>
          <t>6.5</t>
        </is>
      </c>
      <c r="B97" s="5" t="inlineStr">
        <is>
          <t>M6</t>
        </is>
      </c>
      <c r="C97" s="5" t="inlineStr">
        <is>
          <t>GSG UR Tracker: 4-step wizard (settings, summary, by type, subscribers), attendance modes, calculation chain, "Final funding decision"</t>
        </is>
      </c>
      <c r="D97" s="5" t="inlineStr">
        <is>
          <t>FR-TRK-01..03</t>
        </is>
      </c>
      <c r="E97" s="5" t="inlineStr">
        <is>
          <t>New</t>
        </is>
      </c>
      <c r="F97" s="5" t="inlineStr">
        <is>
          <t>BE+FE</t>
        </is>
      </c>
      <c r="G97" s="6" t="n">
        <v>1</v>
      </c>
      <c r="H97" s="5" t="inlineStr">
        <is>
          <t>No</t>
        </is>
      </c>
      <c r="I97" s="13" t="inlineStr">
        <is>
          <t>⬜ Todo</t>
        </is>
      </c>
      <c r="J97" s="13" t="inlineStr">
        <is>
          <t>feat/m6-5</t>
        </is>
      </c>
      <c r="K97" s="13" t="inlineStr"/>
      <c r="L97" s="13" t="inlineStr"/>
      <c r="M97" s="14" t="inlineStr">
        <is>
          <t>#281</t>
        </is>
      </c>
    </row>
    <row r="98">
      <c r="A98" s="5" t="inlineStr">
        <is>
          <t>6.6</t>
        </is>
      </c>
      <c r="B98" s="5" t="inlineStr">
        <is>
          <t>M6</t>
        </is>
      </c>
      <c r="C98" s="5" t="inlineStr">
        <is>
          <t>Month runs ur_month_runs (open → closed → approved/reopened; frozen on close) + utr_records (contracted, actual, AR%, C, locked, justification, approval status)</t>
        </is>
      </c>
      <c r="D98" s="5" t="inlineStr">
        <is>
          <t>ENT-UTR</t>
        </is>
      </c>
      <c r="E98" s="5" t="inlineStr">
        <is>
          <t>New</t>
        </is>
      </c>
      <c r="F98" s="5" t="inlineStr">
        <is>
          <t>BE</t>
        </is>
      </c>
      <c r="G98" s="6" t="n">
        <v>0.75</v>
      </c>
      <c r="H98" s="5" t="inlineStr">
        <is>
          <t>No</t>
        </is>
      </c>
      <c r="I98" s="13" t="inlineStr">
        <is>
          <t>⬜ Todo</t>
        </is>
      </c>
      <c r="J98" s="13" t="inlineStr">
        <is>
          <t>feat/m6-6</t>
        </is>
      </c>
      <c r="K98" s="13" t="inlineStr"/>
      <c r="L98" s="13" t="inlineStr"/>
      <c r="M98" s="14" t="inlineStr">
        <is>
          <t>#282</t>
        </is>
      </c>
    </row>
    <row r="99">
      <c r="A99" s="5" t="inlineStr">
        <is>
          <t>6.7</t>
        </is>
      </c>
      <c r="B99" s="5" t="inlineStr">
        <is>
          <t>M6</t>
        </is>
      </c>
      <c r="C99" s="5" t="inlineStr">
        <is>
          <t>Month-close wizard: 4 steps, 22 checks in 7 categories (one class per check), auto-fix and "Smart fix", recalculation, submission to UTR review</t>
        </is>
      </c>
      <c r="D99" s="5" t="inlineStr">
        <is>
          <t>FR-MCL-01..03</t>
        </is>
      </c>
      <c r="E99" s="5" t="inlineStr">
        <is>
          <t>New</t>
        </is>
      </c>
      <c r="F99" s="5" t="inlineStr">
        <is>
          <t>BE+FE</t>
        </is>
      </c>
      <c r="G99" s="6" t="n">
        <v>2</v>
      </c>
      <c r="H99" s="5" t="inlineStr">
        <is>
          <t>No</t>
        </is>
      </c>
      <c r="I99" s="13" t="inlineStr">
        <is>
          <t>⬜ Todo</t>
        </is>
      </c>
      <c r="J99" s="13" t="inlineStr">
        <is>
          <t>feat/m6-7</t>
        </is>
      </c>
      <c r="K99" s="13" t="inlineStr"/>
      <c r="L99" s="13" t="inlineStr"/>
      <c r="M99" s="14" t="inlineStr">
        <is>
          <t>#283</t>
        </is>
      </c>
    </row>
    <row r="100">
      <c r="A100" s="5" t="inlineStr">
        <is>
          <t>6.8</t>
        </is>
      </c>
      <c r="B100" s="5" t="inlineStr">
        <is>
          <t>M6</t>
        </is>
      </c>
      <c r="C100" s="5" t="inlineStr">
        <is>
          <t>Owner UTR review: per subscriber contracted/actual/AR%/C/locked/type fit, "Justification note", "Smart type suggestions", behavioral analysis</t>
        </is>
      </c>
      <c r="D100" s="5" t="inlineStr">
        <is>
          <t>FR-UR-04</t>
        </is>
      </c>
      <c r="E100" s="5" t="inlineStr">
        <is>
          <t>New</t>
        </is>
      </c>
      <c r="F100" s="5" t="inlineStr">
        <is>
          <t>BE+FE</t>
        </is>
      </c>
      <c r="G100" s="6" t="n">
        <v>1</v>
      </c>
      <c r="H100" s="5" t="inlineStr">
        <is>
          <t>No</t>
        </is>
      </c>
      <c r="I100" s="13" t="inlineStr">
        <is>
          <t>⬜ Todo</t>
        </is>
      </c>
      <c r="J100" s="13" t="inlineStr">
        <is>
          <t>feat/m6-8</t>
        </is>
      </c>
      <c r="K100" s="13" t="inlineStr"/>
      <c r="L100" s="13" t="inlineStr"/>
      <c r="M100" s="14" t="inlineStr">
        <is>
          <t>#284</t>
        </is>
      </c>
    </row>
    <row r="101">
      <c r="A101" s="5" t="inlineStr">
        <is>
          <t>6.9</t>
        </is>
      </c>
      <c r="B101" s="5" t="inlineStr">
        <is>
          <t>M6</t>
        </is>
      </c>
      <c r="C101" s="5" t="inlineStr">
        <is>
          <t>Utilization page: official UR (SSOT) and three readings, current vs expected after approval, distribution of hours and C, 12-month trend, recommendations, "Update now", anomalies, simulation and contribution</t>
        </is>
      </c>
      <c r="D101" s="5" t="inlineStr">
        <is>
          <t>FR-UR-01..03</t>
        </is>
      </c>
      <c r="E101" s="5" t="inlineStr">
        <is>
          <t>New</t>
        </is>
      </c>
      <c r="F101" s="5" t="inlineStr">
        <is>
          <t>BE+FE</t>
        </is>
      </c>
      <c r="G101" s="6" t="n">
        <v>1</v>
      </c>
      <c r="H101" s="5" t="inlineStr">
        <is>
          <t>No</t>
        </is>
      </c>
      <c r="I101" s="13" t="inlineStr">
        <is>
          <t>⬜ Todo</t>
        </is>
      </c>
      <c r="J101" s="13" t="inlineStr">
        <is>
          <t>feat/m6-9</t>
        </is>
      </c>
      <c r="K101" s="13" t="inlineStr"/>
      <c r="L101" s="13" t="inlineStr"/>
      <c r="M101" s="14" t="inlineStr">
        <is>
          <t>#285</t>
        </is>
      </c>
    </row>
    <row r="102">
      <c r="A102" s="5" t="inlineStr">
        <is>
          <t>6.14</t>
        </is>
      </c>
      <c r="B102" s="5" t="inlineStr">
        <is>
          <t>M6</t>
        </is>
      </c>
      <c r="C102" s="5" t="inlineStr">
        <is>
          <t>Programs schema: programs, agreements, funded_seat_assignments, the append-only governance log and program_claims + demo seeder — before 6.10 and 6.11</t>
        </is>
      </c>
      <c r="D102" s="5" t="inlineStr">
        <is>
          <t>ENT-Program, FR-PRG-01..05</t>
        </is>
      </c>
      <c r="E102" s="5" t="inlineStr">
        <is>
          <t>New</t>
        </is>
      </c>
      <c r="F102" s="5" t="inlineStr">
        <is>
          <t>BE</t>
        </is>
      </c>
      <c r="G102" s="6" t="n">
        <v>1</v>
      </c>
      <c r="H102" s="5" t="inlineStr">
        <is>
          <t>No</t>
        </is>
      </c>
      <c r="I102" s="13" t="inlineStr">
        <is>
          <t>⬜ Todo</t>
        </is>
      </c>
      <c r="J102" s="13" t="inlineStr">
        <is>
          <t>feat/m6-14</t>
        </is>
      </c>
      <c r="K102" s="13" t="inlineStr"/>
      <c r="L102" s="13" t="inlineStr"/>
      <c r="M102" s="14" t="inlineStr">
        <is>
          <t>#286</t>
        </is>
      </c>
    </row>
    <row r="103">
      <c r="A103" s="5" t="inlineStr">
        <is>
          <t>6.10</t>
        </is>
      </c>
      <c r="B103" s="5" t="inlineStr">
        <is>
          <t>M6</t>
        </is>
      </c>
      <c r="C103" s="5" t="inlineStr">
        <is>
          <t>Programs (owner view): portfolio, seat board per agreement, "Live" view of funded-seat holders, day-by-day workspace report with PDF/CSV export (and Word/Excel via 7.4)</t>
        </is>
      </c>
      <c r="D103" s="5" t="inlineStr">
        <is>
          <t>FR-PRG-01, FR-PRG-03..05</t>
        </is>
      </c>
      <c r="E103" s="5" t="inlineStr">
        <is>
          <t>New</t>
        </is>
      </c>
      <c r="F103" s="5" t="inlineStr">
        <is>
          <t>BE+FE</t>
        </is>
      </c>
      <c r="G103" s="6" t="n">
        <v>1.25</v>
      </c>
      <c r="H103" s="5" t="inlineStr">
        <is>
          <t>No</t>
        </is>
      </c>
      <c r="I103" s="13" t="inlineStr">
        <is>
          <t>⬜ Todo</t>
        </is>
      </c>
      <c r="J103" s="13" t="inlineStr">
        <is>
          <t>feat/m6-10</t>
        </is>
      </c>
      <c r="K103" s="13" t="inlineStr"/>
      <c r="L103" s="13" t="inlineStr"/>
      <c r="M103" s="14" t="inlineStr">
        <is>
          <t>#287</t>
        </is>
      </c>
    </row>
    <row r="104">
      <c r="A104" s="5" t="inlineStr">
        <is>
          <t>6.11</t>
        </is>
      </c>
      <c r="B104" s="5" t="inlineStr">
        <is>
          <t>M6</t>
        </is>
      </c>
      <c r="C104" s="5" t="inlineStr">
        <is>
          <t>Monthly claims: the amount from the governance log is frozen on submission together with the IBAN, PDF/Word/TXT letter, claim withdrawal</t>
        </is>
      </c>
      <c r="D104" s="5" t="inlineStr">
        <is>
          <t>FR-PRG-02, FLOW-UR</t>
        </is>
      </c>
      <c r="E104" s="5" t="inlineStr">
        <is>
          <t>New</t>
        </is>
      </c>
      <c r="F104" s="5" t="inlineStr">
        <is>
          <t>BE+FE</t>
        </is>
      </c>
      <c r="G104" s="6" t="n">
        <v>0.75</v>
      </c>
      <c r="H104" s="5" t="inlineStr">
        <is>
          <t>No</t>
        </is>
      </c>
      <c r="I104" s="13" t="inlineStr">
        <is>
          <t>⬜ Todo</t>
        </is>
      </c>
      <c r="J104" s="13" t="inlineStr">
        <is>
          <t>feat/m6-11</t>
        </is>
      </c>
      <c r="K104" s="13" t="inlineStr"/>
      <c r="L104" s="13" t="inlineStr"/>
      <c r="M104" s="14" t="inlineStr">
        <is>
          <t>#288</t>
        </is>
      </c>
    </row>
    <row r="105">
      <c r="A105" s="5" t="inlineStr">
        <is>
          <t>6.12</t>
        </is>
      </c>
      <c r="B105" s="5" t="inlineStr">
        <is>
          <t>M6</t>
        </is>
      </c>
      <c r="C105" s="5" t="inlineStr">
        <is>
          <t>Subscriber diagnostics /debug and repair center (activity without a roster entry, incomplete profiles, duplicates)</t>
        </is>
      </c>
      <c r="D105" s="5" t="inlineStr">
        <is>
          <t>FR-MCL-02</t>
        </is>
      </c>
      <c r="E105" s="5" t="inlineStr">
        <is>
          <t>New</t>
        </is>
      </c>
      <c r="F105" s="5" t="inlineStr">
        <is>
          <t>BE+FE</t>
        </is>
      </c>
      <c r="G105" s="6" t="n">
        <v>0.5</v>
      </c>
      <c r="H105" s="5" t="inlineStr">
        <is>
          <t>No</t>
        </is>
      </c>
      <c r="I105" s="13" t="inlineStr">
        <is>
          <t>⬜ Todo</t>
        </is>
      </c>
      <c r="J105" s="13" t="inlineStr">
        <is>
          <t>feat/m6-12</t>
        </is>
      </c>
      <c r="K105" s="13" t="inlineStr"/>
      <c r="L105" s="13" t="inlineStr"/>
      <c r="M105" s="14" t="inlineStr">
        <is>
          <t>#289</t>
        </is>
      </c>
    </row>
    <row r="106">
      <c r="A106" s="5" t="inlineStr">
        <is>
          <t>6.13</t>
        </is>
      </c>
      <c r="B106" s="5" t="inlineStr">
        <is>
          <t>M6</t>
        </is>
      </c>
      <c r="C106" s="5" t="inlineStr">
        <is>
          <t>Reconciliation test: recompute October 2026 from the imported data (or from the imported UTR/AR% values if raw sessions are missing — open question 5) + one month of parallel run</t>
        </is>
      </c>
      <c r="D106" s="5" t="inlineStr">
        <is>
          <t>—</t>
        </is>
      </c>
      <c r="E106" s="5" t="inlineStr">
        <is>
          <t>New</t>
        </is>
      </c>
      <c r="F106" s="5" t="inlineStr">
        <is>
          <t>QA</t>
        </is>
      </c>
      <c r="G106" s="6" t="n">
        <v>1</v>
      </c>
      <c r="H106" s="5" t="inlineStr">
        <is>
          <t>No</t>
        </is>
      </c>
      <c r="I106" s="13" t="inlineStr">
        <is>
          <t>⬜ Todo</t>
        </is>
      </c>
      <c r="J106" s="13" t="inlineStr">
        <is>
          <t>feat/m6-13</t>
        </is>
      </c>
      <c r="K106" s="13" t="inlineStr"/>
      <c r="L106" s="13" t="inlineStr"/>
      <c r="M106" s="14" t="inlineStr">
        <is>
          <t>#290</t>
        </is>
      </c>
    </row>
    <row r="107">
      <c r="A107" s="5" t="inlineStr">
        <is>
          <t>7.1</t>
        </is>
      </c>
      <c r="B107" s="5" t="inlineStr">
        <is>
          <t>M7</t>
        </is>
      </c>
      <c r="C107" s="5" t="inlineStr">
        <is>
          <t>Analytics: overview, advanced, monthly, retention, comparison, evaluation, performance indicators, devices, heatmap</t>
        </is>
      </c>
      <c r="D107" s="5" t="inlineStr">
        <is>
          <t>FR-ANL-01</t>
        </is>
      </c>
      <c r="E107" s="5" t="inlineStr">
        <is>
          <t>Extension: frontend/src/components/features/owner/MemberAnalytics.tsx</t>
        </is>
      </c>
      <c r="F107" s="5" t="inlineStr">
        <is>
          <t>BE+FE</t>
        </is>
      </c>
      <c r="G107" s="6" t="n">
        <v>1.5</v>
      </c>
      <c r="H107" s="5" t="inlineStr">
        <is>
          <t>No</t>
        </is>
      </c>
      <c r="I107" s="13" t="inlineStr">
        <is>
          <t>⬜ Todo</t>
        </is>
      </c>
      <c r="J107" s="13" t="inlineStr">
        <is>
          <t>feat/m7-1</t>
        </is>
      </c>
      <c r="K107" s="13" t="inlineStr"/>
      <c r="L107" s="13" t="inlineStr"/>
      <c r="M107" s="14" t="inlineStr">
        <is>
          <t>#291</t>
        </is>
      </c>
    </row>
    <row r="108">
      <c r="A108" s="5" t="inlineStr">
        <is>
          <t>7.2</t>
        </is>
      </c>
      <c r="B108" s="5" t="inlineStr">
        <is>
          <t>M7</t>
        </is>
      </c>
      <c r="C108" s="5" t="inlineStr">
        <is>
          <t>Report engine + 6 core reports: executive summary, monthly, capacity, subscriber list, occupancy, GSG monthly UR report — with year/month and "Quick generate"</t>
        </is>
      </c>
      <c r="D108" s="5" t="inlineStr">
        <is>
          <t>FR-RPT-01</t>
        </is>
      </c>
      <c r="E108" s="5" t="inlineStr">
        <is>
          <t>Extension: backend/app/Services/OwnerReportsService.php</t>
        </is>
      </c>
      <c r="F108" s="5" t="inlineStr">
        <is>
          <t>BE+FE</t>
        </is>
      </c>
      <c r="G108" s="6" t="n">
        <v>1.5</v>
      </c>
      <c r="H108" s="5" t="inlineStr">
        <is>
          <t>No</t>
        </is>
      </c>
      <c r="I108" s="13" t="inlineStr">
        <is>
          <t>⬜ Todo</t>
        </is>
      </c>
      <c r="J108" s="13" t="inlineStr">
        <is>
          <t>feat/m7-2</t>
        </is>
      </c>
      <c r="K108" s="13" t="inlineStr"/>
      <c r="L108" s="13" t="inlineStr"/>
      <c r="M108" s="14" t="inlineStr">
        <is>
          <t>#292</t>
        </is>
      </c>
    </row>
    <row r="109">
      <c r="A109" s="5" t="inlineStr">
        <is>
          <t>7.3</t>
        </is>
      </c>
      <c r="B109" s="5" t="inlineStr">
        <is>
          <t>M7</t>
        </is>
      </c>
      <c r="C109" s="5" t="inlineStr">
        <is>
          <t>The remaining 12 named reports: subscriber health, retention, in-depth occupancy analysis, occupancy diagnostics, loyalty, network usage, demand forecast, potential revenue, period comparison, data quality, time analysis, unified dashboard + the 19th report after reviewing Appendix A</t>
        </is>
      </c>
      <c r="D109" s="5" t="inlineStr">
        <is>
          <t>FR-RPT-01</t>
        </is>
      </c>
      <c r="E109" s="5" t="inlineStr">
        <is>
          <t>New</t>
        </is>
      </c>
      <c r="F109" s="5" t="inlineStr">
        <is>
          <t>BE+FE</t>
        </is>
      </c>
      <c r="G109" s="6" t="n">
        <v>1.5</v>
      </c>
      <c r="H109" s="5" t="inlineStr">
        <is>
          <t>Yes</t>
        </is>
      </c>
      <c r="I109" s="13" t="inlineStr">
        <is>
          <t>⬜ Todo</t>
        </is>
      </c>
      <c r="J109" s="13" t="inlineStr">
        <is>
          <t>feat/m7-3</t>
        </is>
      </c>
      <c r="K109" s="13" t="inlineStr"/>
      <c r="L109" s="13" t="inlineStr"/>
      <c r="M109" s="14" t="inlineStr">
        <is>
          <t>#293</t>
        </is>
      </c>
    </row>
    <row r="110">
      <c r="A110" s="5" t="inlineStr">
        <is>
          <t>7.4</t>
        </is>
      </c>
      <c r="B110" s="5" t="inlineStr">
        <is>
          <t>M7</t>
        </is>
      </c>
      <c r="C110" s="5" t="inlineStr">
        <is>
          <t>Unified export: PDF (mPDF) / Word (phpword) / Excel (phpspreadsheet) / CSV / JSON / print</t>
        </is>
      </c>
      <c r="D110" s="5" t="inlineStr">
        <is>
          <t>NFR-INT</t>
        </is>
      </c>
      <c r="E110" s="5" t="inlineStr">
        <is>
          <t>Extension: backend/app/Services/Owner/OwnerExportService.php (CSV only)</t>
        </is>
      </c>
      <c r="F110" s="5" t="inlineStr">
        <is>
          <t>BE</t>
        </is>
      </c>
      <c r="G110" s="6" t="n">
        <v>1</v>
      </c>
      <c r="H110" s="5" t="inlineStr">
        <is>
          <t>No</t>
        </is>
      </c>
      <c r="I110" s="13" t="inlineStr">
        <is>
          <t>⬜ Todo</t>
        </is>
      </c>
      <c r="J110" s="13" t="inlineStr">
        <is>
          <t>feat/m7-4</t>
        </is>
      </c>
      <c r="K110" s="13" t="inlineStr"/>
      <c r="L110" s="13" t="inlineStr"/>
      <c r="M110" s="14" t="inlineStr">
        <is>
          <t>#294</t>
        </is>
      </c>
    </row>
    <row r="111">
      <c r="A111" s="5" t="inlineStr">
        <is>
          <t>7.5</t>
        </is>
      </c>
      <c r="B111" s="5" t="inlineStr">
        <is>
          <t>M7</t>
        </is>
      </c>
      <c r="C111" s="5" t="inlineStr">
        <is>
          <t>Report builder: 21 components, drag and drop, save, JSON import/export</t>
        </is>
      </c>
      <c r="D111" s="5" t="inlineStr">
        <is>
          <t>Appendix A §A.4</t>
        </is>
      </c>
      <c r="E111" s="5" t="inlineStr">
        <is>
          <t>New</t>
        </is>
      </c>
      <c r="F111" s="5" t="inlineStr">
        <is>
          <t>FE</t>
        </is>
      </c>
      <c r="G111" s="6" t="n">
        <v>2</v>
      </c>
      <c r="H111" s="5" t="inlineStr">
        <is>
          <t>Yes</t>
        </is>
      </c>
      <c r="I111" s="13" t="inlineStr">
        <is>
          <t>⬜ Todo</t>
        </is>
      </c>
      <c r="J111" s="13" t="inlineStr">
        <is>
          <t>feat/m7-5</t>
        </is>
      </c>
      <c r="K111" s="13" t="inlineStr"/>
      <c r="L111" s="13" t="inlineStr"/>
      <c r="M111" s="14" t="inlineStr">
        <is>
          <t>#295</t>
        </is>
      </c>
    </row>
    <row r="112">
      <c r="A112" s="5" t="inlineStr">
        <is>
          <t>8.1</t>
        </is>
      </c>
      <c r="B112" s="5" t="inlineStr">
        <is>
          <t>M8</t>
        </is>
      </c>
      <c r="C112" s="5" t="inlineStr">
        <is>
          <t>Workspace management: creation by the admin, platform plan and feature limits, status, domain</t>
        </is>
      </c>
      <c r="D112" s="5" t="inlineStr">
        <is>
          <t>FR-SA-01</t>
        </is>
      </c>
      <c r="E112" s="5" t="inlineStr">
        <is>
          <t>Extension: backend/app/Http/Controllers/WorkspaceController.php</t>
        </is>
      </c>
      <c r="F112" s="5" t="inlineStr">
        <is>
          <t>BE+FE</t>
        </is>
      </c>
      <c r="G112" s="6" t="n">
        <v>0.75</v>
      </c>
      <c r="H112" s="5" t="inlineStr">
        <is>
          <t>No</t>
        </is>
      </c>
      <c r="I112" s="13" t="inlineStr">
        <is>
          <t>⬜ Todo</t>
        </is>
      </c>
      <c r="J112" s="13" t="inlineStr">
        <is>
          <t>feat/m8-1</t>
        </is>
      </c>
      <c r="K112" s="13" t="inlineStr"/>
      <c r="L112" s="13" t="inlineStr"/>
      <c r="M112" s="14" t="inlineStr">
        <is>
          <t>#296</t>
        </is>
      </c>
    </row>
    <row r="113">
      <c r="A113" s="5" t="inlineStr">
        <is>
          <t>8.2</t>
        </is>
      </c>
      <c r="B113" s="5" t="inlineStr">
        <is>
          <t>M8</t>
        </is>
      </c>
      <c r="C113" s="5" t="inlineStr">
        <is>
          <t>UTR approval queue across all workspaces by month: read the justification, approve/reject per subscriber and in bulk, immediate effect on the official UR, reopen a closed month</t>
        </is>
      </c>
      <c r="D113" s="5" t="inlineStr">
        <is>
          <t>FR-SA-02, FLOW-UR</t>
        </is>
      </c>
      <c r="E113" s="5" t="inlineStr">
        <is>
          <t>New</t>
        </is>
      </c>
      <c r="F113" s="5" t="inlineStr">
        <is>
          <t>BE+FE</t>
        </is>
      </c>
      <c r="G113" s="6" t="n">
        <v>1.5</v>
      </c>
      <c r="H113" s="5" t="inlineStr">
        <is>
          <t>No</t>
        </is>
      </c>
      <c r="I113" s="13" t="inlineStr">
        <is>
          <t>⬜ Todo</t>
        </is>
      </c>
      <c r="J113" s="13" t="inlineStr">
        <is>
          <t>feat/m8-2</t>
        </is>
      </c>
      <c r="K113" s="13" t="inlineStr"/>
      <c r="L113" s="13" t="inlineStr"/>
      <c r="M113" s="14" t="inlineStr">
        <is>
          <t>#297</t>
        </is>
      </c>
    </row>
    <row r="114">
      <c r="A114" s="5" t="inlineStr">
        <is>
          <t>8.3</t>
        </is>
      </c>
      <c r="B114" s="5" t="inlineStr">
        <is>
          <t>M8</t>
        </is>
      </c>
      <c r="C114" s="5" t="inlineStr">
        <is>
          <t>Programs and agreements UI (on top of the 6.14 schema): donor, seats (donated/paid), price, period, funding type</t>
        </is>
      </c>
      <c r="D114" s="5" t="inlineStr">
        <is>
          <t>FR-SA-03, ENT-Program</t>
        </is>
      </c>
      <c r="E114" s="5" t="inlineStr">
        <is>
          <t>New</t>
        </is>
      </c>
      <c r="F114" s="5" t="inlineStr">
        <is>
          <t>BE+FE</t>
        </is>
      </c>
      <c r="G114" s="6" t="n">
        <v>0.75</v>
      </c>
      <c r="H114" s="5" t="inlineStr">
        <is>
          <t>No</t>
        </is>
      </c>
      <c r="I114" s="13" t="inlineStr">
        <is>
          <t>⬜ Todo</t>
        </is>
      </c>
      <c r="J114" s="13" t="inlineStr">
        <is>
          <t>feat/m8-3</t>
        </is>
      </c>
      <c r="K114" s="13" t="inlineStr"/>
      <c r="L114" s="13" t="inlineStr"/>
      <c r="M114" s="14" t="inlineStr">
        <is>
          <t>#298</t>
        </is>
      </c>
    </row>
    <row r="115">
      <c r="A115" s="5" t="inlineStr">
        <is>
          <t>8.4</t>
        </is>
      </c>
      <c r="B115" s="5" t="inlineStr">
        <is>
          <t>M8</t>
        </is>
      </c>
      <c r="C115" s="5" t="inlineStr">
        <is>
          <t>Funded-seat assignment and removal board + governance log view (reason, effective date, performed by)</t>
        </is>
      </c>
      <c r="D115" s="5" t="inlineStr">
        <is>
          <t>FR-SA-03</t>
        </is>
      </c>
      <c r="E115" s="5" t="inlineStr">
        <is>
          <t>New</t>
        </is>
      </c>
      <c r="F115" s="5" t="inlineStr">
        <is>
          <t>BE+FE</t>
        </is>
      </c>
      <c r="G115" s="6" t="n">
        <v>0.5</v>
      </c>
      <c r="H115" s="5" t="inlineStr">
        <is>
          <t>No</t>
        </is>
      </c>
      <c r="I115" s="13" t="inlineStr">
        <is>
          <t>⬜ Todo</t>
        </is>
      </c>
      <c r="J115" s="13" t="inlineStr">
        <is>
          <t>feat/m8-4</t>
        </is>
      </c>
      <c r="K115" s="13" t="inlineStr"/>
      <c r="L115" s="13" t="inlineStr"/>
      <c r="M115" s="14" t="inlineStr">
        <is>
          <t>#299</t>
        </is>
      </c>
    </row>
    <row r="116">
      <c r="A116" s="5" t="inlineStr">
        <is>
          <t>8.5</t>
        </is>
      </c>
      <c r="B116" s="5" t="inlineStr">
        <is>
          <t>M8</t>
        </is>
      </c>
      <c r="C116" s="5" t="inlineStr">
        <is>
          <t>Claims: receipt, disbursement tracking and its statuses, letters</t>
        </is>
      </c>
      <c r="D116" s="5" t="inlineStr">
        <is>
          <t>FR-SA-04</t>
        </is>
      </c>
      <c r="E116" s="5" t="inlineStr">
        <is>
          <t>New</t>
        </is>
      </c>
      <c r="F116" s="5" t="inlineStr">
        <is>
          <t>BE+FE</t>
        </is>
      </c>
      <c r="G116" s="6" t="n">
        <v>0.75</v>
      </c>
      <c r="H116" s="5" t="inlineStr">
        <is>
          <t>No</t>
        </is>
      </c>
      <c r="I116" s="13" t="inlineStr">
        <is>
          <t>⬜ Todo</t>
        </is>
      </c>
      <c r="J116" s="13" t="inlineStr">
        <is>
          <t>feat/m8-5</t>
        </is>
      </c>
      <c r="K116" s="13" t="inlineStr"/>
      <c r="L116" s="13" t="inlineStr"/>
      <c r="M116" s="14" t="inlineStr">
        <is>
          <t>#300</t>
        </is>
      </c>
    </row>
    <row r="117">
      <c r="A117" s="5" t="inlineStr">
        <is>
          <t>8.6</t>
        </is>
      </c>
      <c r="B117" s="5" t="inlineStr">
        <is>
          <t>M8</t>
        </is>
      </c>
      <c r="C117" s="5" t="inlineStr">
        <is>
          <t>Unified approvals queue (on top of the simple screen from 1.6): parameters, capacity, working hours, holidays, domains</t>
        </is>
      </c>
      <c r="D117" s="5" t="inlineStr">
        <is>
          <t>FR-SA-05</t>
        </is>
      </c>
      <c r="E117" s="5" t="inlineStr">
        <is>
          <t>New</t>
        </is>
      </c>
      <c r="F117" s="5" t="inlineStr">
        <is>
          <t>FE</t>
        </is>
      </c>
      <c r="G117" s="6" t="n">
        <v>0.75</v>
      </c>
      <c r="H117" s="5" t="inlineStr">
        <is>
          <t>No</t>
        </is>
      </c>
      <c r="I117" s="13" t="inlineStr">
        <is>
          <t>⬜ Todo</t>
        </is>
      </c>
      <c r="J117" s="13" t="inlineStr">
        <is>
          <t>feat/m8-6</t>
        </is>
      </c>
      <c r="K117" s="13" t="inlineStr"/>
      <c r="L117" s="13" t="inlineStr"/>
      <c r="M117" s="14" t="inlineStr">
        <is>
          <t>#301</t>
        </is>
      </c>
    </row>
    <row r="118">
      <c r="A118" s="5" t="inlineStr">
        <is>
          <t>8.7</t>
        </is>
      </c>
      <c r="B118" s="5" t="inlineStr">
        <is>
          <t>M8</t>
        </is>
      </c>
      <c r="C118" s="5" t="inlineStr">
        <is>
          <t>Global UR formula parameters (C levels, type weights, attendance mode) and "Final funding decision"</t>
        </is>
      </c>
      <c r="D118" s="5" t="inlineStr">
        <is>
          <t>FR-SA-06</t>
        </is>
      </c>
      <c r="E118" s="5" t="inlineStr">
        <is>
          <t>New</t>
        </is>
      </c>
      <c r="F118" s="5" t="inlineStr">
        <is>
          <t>BE+FE</t>
        </is>
      </c>
      <c r="G118" s="6" t="n">
        <v>0.5</v>
      </c>
      <c r="H118" s="5" t="inlineStr">
        <is>
          <t>No</t>
        </is>
      </c>
      <c r="I118" s="13" t="inlineStr">
        <is>
          <t>⬜ Todo</t>
        </is>
      </c>
      <c r="J118" s="13" t="inlineStr">
        <is>
          <t>feat/m8-7</t>
        </is>
      </c>
      <c r="K118" s="13" t="inlineStr"/>
      <c r="L118" s="13" t="inlineStr"/>
      <c r="M118" s="14" t="inlineStr">
        <is>
          <t>#302</t>
        </is>
      </c>
    </row>
    <row r="119">
      <c r="A119" s="5" t="inlineStr">
        <is>
          <t>8.8</t>
        </is>
      </c>
      <c r="B119" s="5" t="inlineStr">
        <is>
          <t>M8</t>
        </is>
      </c>
      <c r="C119" s="5" t="inlineStr">
        <is>
          <t>Cross-workspace router monitoring (last sync, version, errors) + alert when a router stops</t>
        </is>
      </c>
      <c r="D119" s="5" t="inlineStr">
        <is>
          <t>FR-SA-07</t>
        </is>
      </c>
      <c r="E119" s="5" t="inlineStr">
        <is>
          <t>New</t>
        </is>
      </c>
      <c r="F119" s="5" t="inlineStr">
        <is>
          <t>BE+FE</t>
        </is>
      </c>
      <c r="G119" s="6" t="n">
        <v>0.75</v>
      </c>
      <c r="H119" s="5" t="inlineStr">
        <is>
          <t>No</t>
        </is>
      </c>
      <c r="I119" s="13" t="inlineStr">
        <is>
          <t>⬜ Todo</t>
        </is>
      </c>
      <c r="J119" s="13" t="inlineStr">
        <is>
          <t>feat/m8-8</t>
        </is>
      </c>
      <c r="K119" s="13" t="inlineStr"/>
      <c r="L119" s="13" t="inlineStr"/>
      <c r="M119" s="14" t="inlineStr">
        <is>
          <t>#303</t>
        </is>
      </c>
    </row>
    <row r="120">
      <c r="A120" s="5" t="inlineStr">
        <is>
          <t>8.9</t>
        </is>
      </c>
      <c r="B120" s="5" t="inlineStr">
        <is>
          <t>M8</t>
        </is>
      </c>
      <c r="C120" s="5" t="inlineStr">
        <is>
          <t>Aggregated cross-workspace reports for the donor + aggregated dashboard view</t>
        </is>
      </c>
      <c r="D120" s="5" t="inlineStr">
        <is>
          <t>SA-RPT, §6</t>
        </is>
      </c>
      <c r="E120" s="5" t="inlineStr">
        <is>
          <t>Extension: backend/app/Services/Admin/ReportsService.php</t>
        </is>
      </c>
      <c r="F120" s="5" t="inlineStr">
        <is>
          <t>BE+FE</t>
        </is>
      </c>
      <c r="G120" s="6" t="n">
        <v>1</v>
      </c>
      <c r="H120" s="5" t="inlineStr">
        <is>
          <t>No</t>
        </is>
      </c>
      <c r="I120" s="13" t="inlineStr">
        <is>
          <t>⬜ Todo</t>
        </is>
      </c>
      <c r="J120" s="13" t="inlineStr">
        <is>
          <t>feat/m8-9</t>
        </is>
      </c>
      <c r="K120" s="13" t="inlineStr"/>
      <c r="L120" s="13" t="inlineStr"/>
      <c r="M120" s="14" t="inlineStr">
        <is>
          <t>#304</t>
        </is>
      </c>
    </row>
    <row r="121">
      <c r="A121" s="5" t="inlineStr">
        <is>
          <t>8.10</t>
        </is>
      </c>
      <c r="B121" s="5" t="inlineStr">
        <is>
          <t>M8</t>
        </is>
      </c>
      <c r="C121" s="5" t="inlineStr">
        <is>
          <t>New admin permissions (manage_programs, approve_utr, approve_requests, monitor_network) within the existing system</t>
        </is>
      </c>
      <c r="D121" s="5" t="inlineStr">
        <is>
          <t>§6</t>
        </is>
      </c>
      <c r="E121" s="5" t="inlineStr">
        <is>
          <t>Extension: backend/app/Enums/AdminPermission.php</t>
        </is>
      </c>
      <c r="F121" s="5" t="inlineStr">
        <is>
          <t>BE+FE</t>
        </is>
      </c>
      <c r="G121" s="6" t="n">
        <v>0.25</v>
      </c>
      <c r="H121" s="5" t="inlineStr">
        <is>
          <t>No</t>
        </is>
      </c>
      <c r="I121" s="13" t="inlineStr">
        <is>
          <t>⬜ Todo</t>
        </is>
      </c>
      <c r="J121" s="13" t="inlineStr">
        <is>
          <t>feat/m8-10</t>
        </is>
      </c>
      <c r="K121" s="13" t="inlineStr"/>
      <c r="L121" s="13" t="inlineStr"/>
      <c r="M121" s="14" t="inlineStr">
        <is>
          <t>#305</t>
        </is>
      </c>
    </row>
    <row r="122">
      <c r="A122" s="5" t="inlineStr">
        <is>
          <t>9.1</t>
        </is>
      </c>
      <c r="B122" s="5" t="inlineStr">
        <is>
          <t>M9</t>
        </is>
      </c>
      <c r="C122" s="5" t="inlineStr">
        <is>
          <t>Link the SSO account to the MikroTik username and the discovered devices + match confirmation</t>
        </is>
      </c>
      <c r="D122" s="5" t="inlineStr">
        <is>
          <t>FR-FL-01</t>
        </is>
      </c>
      <c r="E122" s="5" t="inlineStr">
        <is>
          <t>Extension: backend/app/Services/Auth/TaqatSsoService.php</t>
        </is>
      </c>
      <c r="F122" s="5" t="inlineStr">
        <is>
          <t>BE+FE</t>
        </is>
      </c>
      <c r="G122" s="6" t="n">
        <v>0.5</v>
      </c>
      <c r="H122" s="5" t="inlineStr">
        <is>
          <t>No</t>
        </is>
      </c>
      <c r="I122" s="13" t="inlineStr">
        <is>
          <t>⬜ Todo</t>
        </is>
      </c>
      <c r="J122" s="13" t="inlineStr">
        <is>
          <t>feat/m9-1</t>
        </is>
      </c>
      <c r="K122" s="13" t="inlineStr"/>
      <c r="L122" s="13" t="inlineStr"/>
      <c r="M122" s="14" t="inlineStr">
        <is>
          <t>#306</t>
        </is>
      </c>
    </row>
    <row r="123">
      <c r="A123" s="5" t="inlineStr">
        <is>
          <t>9.2</t>
        </is>
      </c>
      <c r="B123" s="5" t="inlineStr">
        <is>
          <t>M9</t>
        </is>
      </c>
      <c r="C123" s="5" t="inlineStr">
        <is>
          <t>"My status": subscription, status, end date, seat, funded seat if any</t>
        </is>
      </c>
      <c r="D123" s="5" t="inlineStr">
        <is>
          <t>FR-FL-02, FL-TP-STATUS</t>
        </is>
      </c>
      <c r="E123" s="5" t="inlineStr">
        <is>
          <t>Extension: backend/app/Services/MemberDashboardService.php</t>
        </is>
      </c>
      <c r="F123" s="5" t="inlineStr">
        <is>
          <t>BE+FE</t>
        </is>
      </c>
      <c r="G123" s="6" t="n">
        <v>0.5</v>
      </c>
      <c r="H123" s="5" t="inlineStr">
        <is>
          <t>No</t>
        </is>
      </c>
      <c r="I123" s="13" t="inlineStr">
        <is>
          <t>⬜ Todo</t>
        </is>
      </c>
      <c r="J123" s="13" t="inlineStr">
        <is>
          <t>feat/m9-2</t>
        </is>
      </c>
      <c r="K123" s="13" t="inlineStr"/>
      <c r="L123" s="13" t="inlineStr"/>
      <c r="M123" s="14" t="inlineStr">
        <is>
          <t>#307</t>
        </is>
      </c>
    </row>
    <row r="124">
      <c r="A124" s="5" t="inlineStr">
        <is>
          <t>9.3</t>
        </is>
      </c>
      <c r="B124" s="5" t="inlineStr">
        <is>
          <t>M9</t>
        </is>
      </c>
      <c r="C124" s="5" t="inlineStr">
        <is>
          <t>My attendance and hours: days and hours this month, AR%, activity calendar</t>
        </is>
      </c>
      <c r="D124" s="5" t="inlineStr">
        <is>
          <t>FR-FL-02</t>
        </is>
      </c>
      <c r="E124" s="5" t="inlineStr">
        <is>
          <t>New</t>
        </is>
      </c>
      <c r="F124" s="5" t="inlineStr">
        <is>
          <t>BE+FE</t>
        </is>
      </c>
      <c r="G124" s="6" t="n">
        <v>1</v>
      </c>
      <c r="H124" s="5" t="inlineStr">
        <is>
          <t>No</t>
        </is>
      </c>
      <c r="I124" s="13" t="inlineStr">
        <is>
          <t>⬜ Todo</t>
        </is>
      </c>
      <c r="J124" s="13" t="inlineStr">
        <is>
          <t>feat/m9-3</t>
        </is>
      </c>
      <c r="K124" s="13" t="inlineStr"/>
      <c r="L124" s="13" t="inlineStr"/>
      <c r="M124" s="14" t="inlineStr">
        <is>
          <t>#308</t>
        </is>
      </c>
    </row>
    <row r="125">
      <c r="A125" s="5" t="inlineStr">
        <is>
          <t>9.4</t>
        </is>
      </c>
      <c r="B125" s="5" t="inlineStr">
        <is>
          <t>M9</t>
        </is>
      </c>
      <c r="C125" s="5" t="inlineStr">
        <is>
          <t>My invoices, wallet balance and receipts + PDF download</t>
        </is>
      </c>
      <c r="D125" s="5" t="inlineStr">
        <is>
          <t>FR-FL-02</t>
        </is>
      </c>
      <c r="E125" s="5" t="inlineStr">
        <is>
          <t>Extension: freelancer/invoices page</t>
        </is>
      </c>
      <c r="F125" s="5" t="inlineStr">
        <is>
          <t>BE+FE</t>
        </is>
      </c>
      <c r="G125" s="6" t="n">
        <v>0.5</v>
      </c>
      <c r="H125" s="5" t="inlineStr">
        <is>
          <t>No</t>
        </is>
      </c>
      <c r="I125" s="13" t="inlineStr">
        <is>
          <t>⬜ Todo</t>
        </is>
      </c>
      <c r="J125" s="13" t="inlineStr">
        <is>
          <t>feat/m9-4</t>
        </is>
      </c>
      <c r="K125" s="13" t="inlineStr"/>
      <c r="L125" s="13" t="inlineStr"/>
      <c r="M125" s="14" t="inlineStr">
        <is>
          <t>#309</t>
        </is>
      </c>
    </row>
    <row r="126">
      <c r="A126" s="5" t="inlineStr">
        <is>
          <t>9.5</t>
        </is>
      </c>
      <c r="B126" s="5" t="inlineStr">
        <is>
          <t>M9</t>
        </is>
      </c>
      <c r="C126" s="5" t="inlineStr">
        <is>
          <t>Requests: renewal, plan change, room booking → sent to the owner for approval</t>
        </is>
      </c>
      <c r="D126" s="5" t="inlineStr">
        <is>
          <t>FR-FL-03</t>
        </is>
      </c>
      <c r="E126" s="5" t="inlineStr">
        <is>
          <t>Extension: cancellation only in backend/routes/api/subscriptions.php</t>
        </is>
      </c>
      <c r="F126" s="5" t="inlineStr">
        <is>
          <t>BE+FE</t>
        </is>
      </c>
      <c r="G126" s="6" t="n">
        <v>1</v>
      </c>
      <c r="H126" s="5" t="inlineStr">
        <is>
          <t>No</t>
        </is>
      </c>
      <c r="I126" s="13" t="inlineStr">
        <is>
          <t>⬜ Todo</t>
        </is>
      </c>
      <c r="J126" s="13" t="inlineStr">
        <is>
          <t>feat/m9-5</t>
        </is>
      </c>
      <c r="K126" s="13" t="inlineStr"/>
      <c r="L126" s="13" t="inlineStr"/>
      <c r="M126" s="14" t="inlineStr">
        <is>
          <t>#310</t>
        </is>
      </c>
    </row>
    <row r="127">
      <c r="A127" s="5" t="inlineStr">
        <is>
          <t>9.6</t>
        </is>
      </c>
      <c r="B127" s="5" t="inlineStr">
        <is>
          <t>M9</t>
        </is>
      </c>
      <c r="C127" s="5" t="inlineStr">
        <is>
          <t>Dispute hours or charges (request with a reason and an attachment, answered by the owner)</t>
        </is>
      </c>
      <c r="D127" s="5" t="inlineStr">
        <is>
          <t>FR-FL-04</t>
        </is>
      </c>
      <c r="E127" s="5" t="inlineStr">
        <is>
          <t>New</t>
        </is>
      </c>
      <c r="F127" s="5" t="inlineStr">
        <is>
          <t>BE+FE</t>
        </is>
      </c>
      <c r="G127" s="6" t="n">
        <v>0.75</v>
      </c>
      <c r="H127" s="5" t="inlineStr">
        <is>
          <t>Yes</t>
        </is>
      </c>
      <c r="I127" s="13" t="inlineStr">
        <is>
          <t>⬜ Todo</t>
        </is>
      </c>
      <c r="J127" s="13" t="inlineStr">
        <is>
          <t>feat/m9-6</t>
        </is>
      </c>
      <c r="K127" s="13" t="inlineStr"/>
      <c r="L127" s="13" t="inlineStr"/>
      <c r="M127" s="14" t="inlineStr">
        <is>
          <t>#311</t>
        </is>
      </c>
    </row>
    <row r="128">
      <c r="A128" s="5" t="inlineStr">
        <is>
          <t>9.7</t>
        </is>
      </c>
      <c r="B128" s="5" t="inlineStr">
        <is>
          <t>M9</t>
        </is>
      </c>
      <c r="C128" s="5" t="inlineStr">
        <is>
          <t>My devices: linked devices, naming, removal request</t>
        </is>
      </c>
      <c r="D128" s="5" t="inlineStr">
        <is>
          <t>FR-FL-05</t>
        </is>
      </c>
      <c r="E128" s="5" t="inlineStr">
        <is>
          <t>New</t>
        </is>
      </c>
      <c r="F128" s="5" t="inlineStr">
        <is>
          <t>BE+FE</t>
        </is>
      </c>
      <c r="G128" s="6" t="n">
        <v>0.5</v>
      </c>
      <c r="H128" s="5" t="inlineStr">
        <is>
          <t>No</t>
        </is>
      </c>
      <c r="I128" s="13" t="inlineStr">
        <is>
          <t>⬜ Todo</t>
        </is>
      </c>
      <c r="J128" s="13" t="inlineStr">
        <is>
          <t>feat/m9-7</t>
        </is>
      </c>
      <c r="K128" s="13" t="inlineStr"/>
      <c r="L128" s="13" t="inlineStr"/>
      <c r="M128" s="14" t="inlineStr">
        <is>
          <t>#312</t>
        </is>
      </c>
    </row>
    <row r="129">
      <c r="A129" s="5" t="inlineStr">
        <is>
          <t>9.8</t>
        </is>
      </c>
      <c r="B129" s="5" t="inlineStr">
        <is>
          <t>M9</t>
        </is>
      </c>
      <c r="C129" s="5" t="inlineStr">
        <is>
          <t>My profile: donor-field completion wizard (education, specialization, employment status)</t>
        </is>
      </c>
      <c r="D129" s="5" t="inlineStr">
        <is>
          <t>FR-MEM-06</t>
        </is>
      </c>
      <c r="E129" s="5" t="inlineStr">
        <is>
          <t>Extension: freelancer/profile page</t>
        </is>
      </c>
      <c r="F129" s="5" t="inlineStr">
        <is>
          <t>FE</t>
        </is>
      </c>
      <c r="G129" s="6" t="n">
        <v>0.25</v>
      </c>
      <c r="H129" s="5" t="inlineStr">
        <is>
          <t>No</t>
        </is>
      </c>
      <c r="I129" s="13" t="inlineStr">
        <is>
          <t>⬜ Todo</t>
        </is>
      </c>
      <c r="J129" s="13" t="inlineStr">
        <is>
          <t>feat/m9-8</t>
        </is>
      </c>
      <c r="K129" s="13" t="inlineStr"/>
      <c r="L129" s="13" t="inlineStr"/>
      <c r="M129" s="14" t="inlineStr">
        <is>
          <t>#313</t>
        </is>
      </c>
    </row>
    <row r="130">
      <c r="A130" s="5" t="inlineStr">
        <is>
          <t>9.9</t>
        </is>
      </c>
      <c r="B130" s="5" t="inlineStr">
        <is>
          <t>M9</t>
        </is>
      </c>
      <c r="C130" s="5" t="inlineStr">
        <is>
          <t>New notifications: contract expiring (14 days), invoice issued, request approved/rejected, dispute reply, hours alert</t>
        </is>
      </c>
      <c r="D130" s="5" t="inlineStr">
        <is>
          <t>—</t>
        </is>
      </c>
      <c r="E130" s="5" t="inlineStr">
        <is>
          <t>Extension: backend/app/Notifications/</t>
        </is>
      </c>
      <c r="F130" s="5" t="inlineStr">
        <is>
          <t>BE</t>
        </is>
      </c>
      <c r="G130" s="6" t="n">
        <v>0.5</v>
      </c>
      <c r="H130" s="5" t="inlineStr">
        <is>
          <t>No</t>
        </is>
      </c>
      <c r="I130" s="13" t="inlineStr">
        <is>
          <t>⬜ Todo</t>
        </is>
      </c>
      <c r="J130" s="13" t="inlineStr">
        <is>
          <t>feat/m9-9</t>
        </is>
      </c>
      <c r="K130" s="13" t="inlineStr"/>
      <c r="L130" s="13" t="inlineStr"/>
      <c r="M130" s="14" t="inlineStr">
        <is>
          <t>#314</t>
        </is>
      </c>
    </row>
    <row r="131">
      <c r="A131" s="5" t="inlineStr">
        <is>
          <t>9.10</t>
        </is>
      </c>
      <c r="B131" s="5" t="inlineStr">
        <is>
          <t>M9</t>
        </is>
      </c>
      <c r="C131" s="5" t="inlineStr">
        <is>
          <t>Freelancer POS reads from the unified catalog + "Add to my account" option</t>
        </is>
      </c>
      <c r="D131" s="5" t="inlineStr">
        <is>
          <t>FL-TP-POS</t>
        </is>
      </c>
      <c r="E131" s="5" t="inlineStr">
        <is>
          <t>Existing: freelancer/pos page</t>
        </is>
      </c>
      <c r="F131" s="5" t="inlineStr">
        <is>
          <t>BE+FE</t>
        </is>
      </c>
      <c r="G131" s="6" t="n">
        <v>0.5</v>
      </c>
      <c r="H131" s="5" t="inlineStr">
        <is>
          <t>No</t>
        </is>
      </c>
      <c r="I131" s="13" t="inlineStr">
        <is>
          <t>⬜ Todo</t>
        </is>
      </c>
      <c r="J131" s="13" t="inlineStr">
        <is>
          <t>feat/m9-10</t>
        </is>
      </c>
      <c r="K131" s="13" t="inlineStr"/>
      <c r="L131" s="13" t="inlineStr"/>
      <c r="M131" s="14" t="inlineStr">
        <is>
          <t>#315</t>
        </is>
      </c>
    </row>
    <row r="132">
      <c r="A132" s="5" t="inlineStr">
        <is>
          <t>10.1</t>
        </is>
      </c>
      <c r="B132" s="5" t="inlineStr">
        <is>
          <t>M10</t>
        </is>
      </c>
      <c r="C132" s="5" t="inlineStr">
        <is>
          <t>Public site /s/{slug} (Arabic/English) that works without the site builder using the sections of the current workspace page, with a redirect from that page</t>
        </is>
      </c>
      <c r="D132" s="5" t="inlineStr">
        <is>
          <t>§2.1</t>
        </is>
      </c>
      <c r="E132" s="5" t="inlineStr">
        <is>
          <t>Extension: (public)/workspaces/[id] page</t>
        </is>
      </c>
      <c r="F132" s="5" t="inlineStr">
        <is>
          <t>BE+FE</t>
        </is>
      </c>
      <c r="G132" s="6" t="n">
        <v>0.75</v>
      </c>
      <c r="H132" s="5" t="inlineStr">
        <is>
          <t>No</t>
        </is>
      </c>
      <c r="I132" s="13" t="inlineStr">
        <is>
          <t>⬜ Todo</t>
        </is>
      </c>
      <c r="J132" s="13" t="inlineStr">
        <is>
          <t>feat/m10-1</t>
        </is>
      </c>
      <c r="K132" s="13" t="inlineStr"/>
      <c r="L132" s="13" t="inlineStr"/>
      <c r="M132" s="14" t="inlineStr">
        <is>
          <t>#316</t>
        </is>
      </c>
    </row>
    <row r="133">
      <c r="A133" s="5" t="inlineStr">
        <is>
          <t>10.2</t>
        </is>
      </c>
      <c r="B133" s="5" t="inlineStr">
        <is>
          <t>M10</t>
        </is>
      </c>
      <c r="C133" s="5" t="inlineStr">
        <is>
          <t>Site builder: 14 sortable, toggleable sections per workspace (modeled on the Landing CMS)</t>
        </is>
      </c>
      <c r="D133" s="5" t="inlineStr">
        <is>
          <t>Appendix A §A.5</t>
        </is>
      </c>
      <c r="E133" s="5" t="inlineStr">
        <is>
          <t>Extension: frontend/src/components/features/admin/LandingEditor.tsx</t>
        </is>
      </c>
      <c r="F133" s="5" t="inlineStr">
        <is>
          <t>BE+FE</t>
        </is>
      </c>
      <c r="G133" s="6" t="n">
        <v>1.5</v>
      </c>
      <c r="H133" s="5" t="inlineStr">
        <is>
          <t>Yes</t>
        </is>
      </c>
      <c r="I133" s="13" t="inlineStr">
        <is>
          <t>⬜ Todo</t>
        </is>
      </c>
      <c r="J133" s="13" t="inlineStr">
        <is>
          <t>feat/m10-2</t>
        </is>
      </c>
      <c r="K133" s="13" t="inlineStr"/>
      <c r="L133" s="13" t="inlineStr"/>
      <c r="M133" s="14" t="inlineStr">
        <is>
          <t>#317</t>
        </is>
      </c>
    </row>
    <row r="134">
      <c r="A134" s="5" t="inlineStr">
        <is>
          <t>10.3</t>
        </is>
      </c>
      <c r="B134" s="5" t="inlineStr">
        <is>
          <t>M10</t>
        </is>
      </c>
      <c r="C134" s="5" t="inlineStr">
        <is>
          <t>Subscription request form without an account → "Subscription requests"</t>
        </is>
      </c>
      <c r="D134" s="5" t="inlineStr">
        <is>
          <t>FR-REQ-01, FL-TP-FORMS</t>
        </is>
      </c>
      <c r="E134" s="5" t="inlineStr">
        <is>
          <t>Extension: the current booking request requires sign-in</t>
        </is>
      </c>
      <c r="F134" s="5" t="inlineStr">
        <is>
          <t>BE+FE</t>
        </is>
      </c>
      <c r="G134" s="6" t="n">
        <v>0.5</v>
      </c>
      <c r="H134" s="5" t="inlineStr">
        <is>
          <t>No</t>
        </is>
      </c>
      <c r="I134" s="13" t="inlineStr">
        <is>
          <t>⬜ Todo</t>
        </is>
      </c>
      <c r="J134" s="13" t="inlineStr">
        <is>
          <t>feat/m10-3</t>
        </is>
      </c>
      <c r="K134" s="13" t="inlineStr"/>
      <c r="L134" s="13" t="inlineStr"/>
      <c r="M134" s="14" t="inlineStr">
        <is>
          <t>#318</t>
        </is>
      </c>
    </row>
    <row r="135">
      <c r="A135" s="5" t="inlineStr">
        <is>
          <t>10.4</t>
        </is>
      </c>
      <c r="B135" s="5" t="inlineStr">
        <is>
          <t>M10</t>
        </is>
      </c>
      <c r="C135" s="5" t="inlineStr">
        <is>
          <t>Room booking form with duration limits and advance booking → "Room bookings"</t>
        </is>
      </c>
      <c r="D135" s="5" t="inlineStr">
        <is>
          <t>FR-RMB-01, FL-TP-FORMS</t>
        </is>
      </c>
      <c r="E135" s="5" t="inlineStr">
        <is>
          <t>New</t>
        </is>
      </c>
      <c r="F135" s="5" t="inlineStr">
        <is>
          <t>BE+FE</t>
        </is>
      </c>
      <c r="G135" s="6" t="n">
        <v>0.5</v>
      </c>
      <c r="H135" s="5" t="inlineStr">
        <is>
          <t>No</t>
        </is>
      </c>
      <c r="I135" s="13" t="inlineStr">
        <is>
          <t>⬜ Todo</t>
        </is>
      </c>
      <c r="J135" s="13" t="inlineStr">
        <is>
          <t>feat/m10-4</t>
        </is>
      </c>
      <c r="K135" s="13" t="inlineStr"/>
      <c r="L135" s="13" t="inlineStr"/>
      <c r="M135" s="14" t="inlineStr">
        <is>
          <t>#319</t>
        </is>
      </c>
    </row>
    <row r="136">
      <c r="A136" s="5" t="inlineStr">
        <is>
          <t>10.5</t>
        </is>
      </c>
      <c r="B136" s="5" t="inlineStr">
        <is>
          <t>M10</t>
        </is>
      </c>
      <c r="C136" s="5" t="inlineStr">
        <is>
          <t>"My status page" on the public site (enabled from settings, merged into the site builder once it is built)</t>
        </is>
      </c>
      <c r="D136" s="5" t="inlineStr">
        <is>
          <t>FL-TP-STATUS</t>
        </is>
      </c>
      <c r="E136" s="5" t="inlineStr">
        <is>
          <t>New</t>
        </is>
      </c>
      <c r="F136" s="5" t="inlineStr">
        <is>
          <t>FE</t>
        </is>
      </c>
      <c r="G136" s="6" t="n">
        <v>0.25</v>
      </c>
      <c r="H136" s="5" t="inlineStr">
        <is>
          <t>No</t>
        </is>
      </c>
      <c r="I136" s="13" t="inlineStr">
        <is>
          <t>⬜ Todo</t>
        </is>
      </c>
      <c r="J136" s="13" t="inlineStr">
        <is>
          <t>feat/m10-5</t>
        </is>
      </c>
      <c r="K136" s="13" t="inlineStr"/>
      <c r="L136" s="13" t="inlineStr"/>
      <c r="M136" s="14" t="inlineStr">
        <is>
          <t>#320</t>
        </is>
      </c>
    </row>
    <row r="137">
      <c r="A137" s="5" t="inlineStr">
        <is>
          <t>10.6</t>
        </is>
      </c>
      <c r="B137" s="5" t="inlineStr">
        <is>
          <t>M10</t>
        </is>
      </c>
      <c r="C137" s="5" t="inlineStr">
        <is>
          <t>Guest self-registration /hotspot/{code}/register from the hotspot login page: phone-number or generated username, visitor profile and shared-users=1, Walled Garden, account ready within a minute</t>
        </is>
      </c>
      <c r="D137" s="5" t="inlineStr">
        <is>
          <t>FL-TP-GUEST</t>
        </is>
      </c>
      <c r="E137" s="5" t="inlineStr">
        <is>
          <t>New</t>
        </is>
      </c>
      <c r="F137" s="5" t="inlineStr">
        <is>
          <t>BE+FE</t>
        </is>
      </c>
      <c r="G137" s="6" t="n">
        <v>1.25</v>
      </c>
      <c r="H137" s="5" t="inlineStr">
        <is>
          <t>No</t>
        </is>
      </c>
      <c r="I137" s="13" t="inlineStr">
        <is>
          <t>⬜ Todo</t>
        </is>
      </c>
      <c r="J137" s="13" t="inlineStr">
        <is>
          <t>feat/m10-6</t>
        </is>
      </c>
      <c r="K137" s="13" t="inlineStr"/>
      <c r="L137" s="13" t="inlineStr"/>
      <c r="M137" s="14" t="inlineStr">
        <is>
          <t>#321</t>
        </is>
      </c>
    </row>
    <row r="138">
      <c r="A138" s="5" t="inlineStr">
        <is>
          <t>10.7</t>
        </is>
      </c>
      <c r="B138" s="5" t="inlineStr">
        <is>
          <t>M10</t>
        </is>
      </c>
      <c r="C138" s="5" t="inlineStr">
        <is>
          <t>Custom domain: request → super admin approval → DNS/SSL activation</t>
        </is>
      </c>
      <c r="D138" s="5" t="inlineStr">
        <is>
          <t>SET-DNS</t>
        </is>
      </c>
      <c r="E138" s="5" t="inlineStr">
        <is>
          <t>New</t>
        </is>
      </c>
      <c r="F138" s="5" t="inlineStr">
        <is>
          <t>BE+Ops</t>
        </is>
      </c>
      <c r="G138" s="6" t="n">
        <v>0.5</v>
      </c>
      <c r="H138" s="5" t="inlineStr">
        <is>
          <t>Yes</t>
        </is>
      </c>
      <c r="I138" s="13" t="inlineStr">
        <is>
          <t>⬜ Todo</t>
        </is>
      </c>
      <c r="J138" s="13" t="inlineStr">
        <is>
          <t>feat/m10-7</t>
        </is>
      </c>
      <c r="K138" s="13" t="inlineStr"/>
      <c r="L138" s="13" t="inlineStr"/>
      <c r="M138" s="14" t="inlineStr">
        <is>
          <t>#322</t>
        </is>
      </c>
    </row>
    <row r="139">
      <c r="A139" s="5" t="inlineStr">
        <is>
          <t>10.8</t>
        </is>
      </c>
      <c r="B139" s="5" t="inlineStr">
        <is>
          <t>M10</t>
        </is>
      </c>
      <c r="C139" s="5" t="inlineStr">
        <is>
          <t>Existing discovery and marketplace: keep explore, reviews and ads, and link them to the slug and the new plans</t>
        </is>
      </c>
      <c r="D139" s="5" t="inlineStr">
        <is>
          <t>—</t>
        </is>
      </c>
      <c r="E139" s="5" t="inlineStr">
        <is>
          <t>Existing: (public)/explore page</t>
        </is>
      </c>
      <c r="F139" s="5" t="inlineStr">
        <is>
          <t>FE</t>
        </is>
      </c>
      <c r="G139" s="6" t="n">
        <v>0.25</v>
      </c>
      <c r="H139" s="5" t="inlineStr">
        <is>
          <t>No</t>
        </is>
      </c>
      <c r="I139" s="13" t="inlineStr">
        <is>
          <t>⬜ Todo</t>
        </is>
      </c>
      <c r="J139" s="13" t="inlineStr">
        <is>
          <t>feat/m10-8</t>
        </is>
      </c>
      <c r="K139" s="13" t="inlineStr"/>
      <c r="L139" s="13" t="inlineStr"/>
      <c r="M139" s="14" t="inlineStr">
        <is>
          <t>#323</t>
        </is>
      </c>
    </row>
    <row r="140">
      <c r="A140" s="5" t="inlineStr">
        <is>
          <t>11.1</t>
        </is>
      </c>
      <c r="B140" s="5" t="inlineStr">
        <is>
          <t>M11</t>
        </is>
      </c>
      <c r="C140" s="5" t="inlineStr">
        <is>
          <t>Monthly UR cycle: freelancer connects → weighting → close → justification → approval → official UR → GSG report</t>
        </is>
      </c>
      <c r="D140" s="5" t="inlineStr">
        <is>
          <t>FLOW-UR</t>
        </is>
      </c>
      <c r="E140" s="5" t="inlineStr">
        <is>
          <t>New</t>
        </is>
      </c>
      <c r="F140" s="5" t="inlineStr">
        <is>
          <t>QA</t>
        </is>
      </c>
      <c r="G140" s="6" t="n">
        <v>1</v>
      </c>
      <c r="H140" s="5" t="inlineStr">
        <is>
          <t>No</t>
        </is>
      </c>
      <c r="I140" s="13" t="inlineStr">
        <is>
          <t>⬜ Todo</t>
        </is>
      </c>
      <c r="J140" s="13" t="inlineStr">
        <is>
          <t>test/m11-1</t>
        </is>
      </c>
      <c r="K140" s="13" t="inlineStr"/>
      <c r="L140" s="13" t="inlineStr"/>
      <c r="M140" s="14" t="inlineStr">
        <is>
          <t>#324</t>
        </is>
      </c>
    </row>
    <row r="141">
      <c r="A141" s="5" t="inlineStr">
        <is>
          <t>11.2</t>
        </is>
      </c>
      <c r="B141" s="5" t="inlineStr">
        <is>
          <t>M11</t>
        </is>
      </c>
      <c r="C141" s="5" t="inlineStr">
        <is>
          <t>Claim cycle: governance log → frozen claim → receipt and disbursement</t>
        </is>
      </c>
      <c r="D141" s="5" t="inlineStr">
        <is>
          <t>FR-PRG-02</t>
        </is>
      </c>
      <c r="E141" s="5" t="inlineStr">
        <is>
          <t>New</t>
        </is>
      </c>
      <c r="F141" s="5" t="inlineStr">
        <is>
          <t>QA</t>
        </is>
      </c>
      <c r="G141" s="6" t="n">
        <v>0.25</v>
      </c>
      <c r="H141" s="5" t="inlineStr">
        <is>
          <t>No</t>
        </is>
      </c>
      <c r="I141" s="13" t="inlineStr">
        <is>
          <t>⬜ Todo</t>
        </is>
      </c>
      <c r="J141" s="13" t="inlineStr">
        <is>
          <t>test/m11-2</t>
        </is>
      </c>
      <c r="K141" s="13" t="inlineStr"/>
      <c r="L141" s="13" t="inlineStr"/>
      <c r="M141" s="14" t="inlineStr">
        <is>
          <t>#325</t>
        </is>
      </c>
    </row>
    <row r="142">
      <c r="A142" s="5" t="inlineStr">
        <is>
          <t>11.3</t>
        </is>
      </c>
      <c r="B142" s="5" t="inlineStr">
        <is>
          <t>M11</t>
        </is>
      </c>
      <c r="C142" s="5" t="inlineStr">
        <is>
          <t>From request to subscriber: public site → approval → contract + plan → freelancer portal</t>
        </is>
      </c>
      <c r="D142" s="5" t="inlineStr">
        <is>
          <t>FLOW-1</t>
        </is>
      </c>
      <c r="E142" s="5" t="inlineStr">
        <is>
          <t>New</t>
        </is>
      </c>
      <c r="F142" s="5" t="inlineStr">
        <is>
          <t>QA</t>
        </is>
      </c>
      <c r="G142" s="6" t="n">
        <v>0.5</v>
      </c>
      <c r="H142" s="5" t="inlineStr">
        <is>
          <t>No</t>
        </is>
      </c>
      <c r="I142" s="13" t="inlineStr">
        <is>
          <t>⬜ Todo</t>
        </is>
      </c>
      <c r="J142" s="13" t="inlineStr">
        <is>
          <t>test/m11-3</t>
        </is>
      </c>
      <c r="K142" s="13" t="inlineStr"/>
      <c r="L142" s="13" t="inlineStr"/>
      <c r="M142" s="14" t="inlineStr">
        <is>
          <t>#326</t>
        </is>
      </c>
    </row>
    <row r="143">
      <c r="A143" s="5" t="inlineStr">
        <is>
          <t>11.4</t>
        </is>
      </c>
      <c r="B143" s="5" t="inlineStr">
        <is>
          <t>M11</t>
        </is>
      </c>
      <c r="C143" s="5" t="inlineStr">
        <is>
          <t>Live visitor conversion: device without a subscription → "Live visitors" → "Subscribe" → billing</t>
        </is>
      </c>
      <c r="D143" s="5" t="inlineStr">
        <is>
          <t>FLOW-2</t>
        </is>
      </c>
      <c r="E143" s="5" t="inlineStr">
        <is>
          <t>New</t>
        </is>
      </c>
      <c r="F143" s="5" t="inlineStr">
        <is>
          <t>QA</t>
        </is>
      </c>
      <c r="G143" s="6" t="n">
        <v>0.25</v>
      </c>
      <c r="H143" s="5" t="inlineStr">
        <is>
          <t>No</t>
        </is>
      </c>
      <c r="I143" s="13" t="inlineStr">
        <is>
          <t>⬜ Todo</t>
        </is>
      </c>
      <c r="J143" s="13" t="inlineStr">
        <is>
          <t>test/m11-4</t>
        </is>
      </c>
      <c r="K143" s="13" t="inlineStr"/>
      <c r="L143" s="13" t="inlineStr"/>
      <c r="M143" s="14" t="inlineStr">
        <is>
          <t>#327</t>
        </is>
      </c>
    </row>
    <row r="144">
      <c r="A144" s="5" t="inlineStr">
        <is>
          <t>11.5</t>
        </is>
      </c>
      <c r="B144" s="5" t="inlineStr">
        <is>
          <t>M11</t>
        </is>
      </c>
      <c r="C144" s="5" t="inlineStr">
        <is>
          <t>Billing cycle: POS charges → invoice → seen by the freelancer → payment → balance</t>
        </is>
      </c>
      <c r="D144" s="5" t="inlineStr">
        <is>
          <t>FLOW-3</t>
        </is>
      </c>
      <c r="E144" s="5" t="inlineStr">
        <is>
          <t>New</t>
        </is>
      </c>
      <c r="F144" s="5" t="inlineStr">
        <is>
          <t>QA</t>
        </is>
      </c>
      <c r="G144" s="6" t="n">
        <v>0.5</v>
      </c>
      <c r="H144" s="5" t="inlineStr">
        <is>
          <t>No</t>
        </is>
      </c>
      <c r="I144" s="13" t="inlineStr">
        <is>
          <t>⬜ Todo</t>
        </is>
      </c>
      <c r="J144" s="13" t="inlineStr">
        <is>
          <t>test/m11-5</t>
        </is>
      </c>
      <c r="K144" s="13" t="inlineStr"/>
      <c r="L144" s="13" t="inlineStr"/>
      <c r="M144" s="14" t="inlineStr">
        <is>
          <t>#328</t>
        </is>
      </c>
    </row>
    <row r="145">
      <c r="A145" s="5" t="inlineStr">
        <is>
          <t>11.6</t>
        </is>
      </c>
      <c r="B145" s="5" t="inlineStr">
        <is>
          <t>M11</t>
        </is>
      </c>
      <c r="C145" s="5" t="inlineStr">
        <is>
          <t>Contract cycle: draft → active → suspended → active → expired + individual and bulk renewal</t>
        </is>
      </c>
      <c r="D145" s="5" t="inlineStr">
        <is>
          <t>FLOW-4</t>
        </is>
      </c>
      <c r="E145" s="5" t="inlineStr">
        <is>
          <t>New</t>
        </is>
      </c>
      <c r="F145" s="5" t="inlineStr">
        <is>
          <t>QA</t>
        </is>
      </c>
      <c r="G145" s="6" t="n">
        <v>0.25</v>
      </c>
      <c r="H145" s="5" t="inlineStr">
        <is>
          <t>No</t>
        </is>
      </c>
      <c r="I145" s="13" t="inlineStr">
        <is>
          <t>⬜ Todo</t>
        </is>
      </c>
      <c r="J145" s="13" t="inlineStr">
        <is>
          <t>test/m11-6</t>
        </is>
      </c>
      <c r="K145" s="13" t="inlineStr"/>
      <c r="L145" s="13" t="inlineStr"/>
      <c r="M145" s="14" t="inlineStr">
        <is>
          <t>#329</t>
        </is>
      </c>
    </row>
    <row r="146">
      <c r="A146" s="5" t="inlineStr">
        <is>
          <t>11.7</t>
        </is>
      </c>
      <c r="B146" s="5" t="inlineStr">
        <is>
          <t>M11</t>
        </is>
      </c>
      <c r="C146" s="5" t="inlineStr">
        <is>
          <t>Parameter change: request → approval → Tmax and UR recalculation</t>
        </is>
      </c>
      <c r="D146" s="5" t="inlineStr">
        <is>
          <t>FLOW-5</t>
        </is>
      </c>
      <c r="E146" s="5" t="inlineStr">
        <is>
          <t>New</t>
        </is>
      </c>
      <c r="F146" s="5" t="inlineStr">
        <is>
          <t>QA</t>
        </is>
      </c>
      <c r="G146" s="6" t="n">
        <v>0.25</v>
      </c>
      <c r="H146" s="5" t="inlineStr">
        <is>
          <t>No</t>
        </is>
      </c>
      <c r="I146" s="13" t="inlineStr">
        <is>
          <t>⬜ Todo</t>
        </is>
      </c>
      <c r="J146" s="13" t="inlineStr">
        <is>
          <t>test/m11-7</t>
        </is>
      </c>
      <c r="K146" s="13" t="inlineStr"/>
      <c r="L146" s="13" t="inlineStr"/>
      <c r="M146" s="14" t="inlineStr">
        <is>
          <t>#330</t>
        </is>
      </c>
    </row>
    <row r="147">
      <c r="A147" s="5" t="inlineStr">
        <is>
          <t>11.8</t>
        </is>
      </c>
      <c r="B147" s="5" t="inlineStr">
        <is>
          <t>M11</t>
        </is>
      </c>
      <c r="C147" s="5" t="inlineStr">
        <is>
          <t>Funded seat assignment: super admin → seat board → live → program report → "My status"</t>
        </is>
      </c>
      <c r="D147" s="5" t="inlineStr">
        <is>
          <t>FR-PRG-05</t>
        </is>
      </c>
      <c r="E147" s="5" t="inlineStr">
        <is>
          <t>New</t>
        </is>
      </c>
      <c r="F147" s="5" t="inlineStr">
        <is>
          <t>QA</t>
        </is>
      </c>
      <c r="G147" s="6" t="n">
        <v>0.25</v>
      </c>
      <c r="H147" s="5" t="inlineStr">
        <is>
          <t>No</t>
        </is>
      </c>
      <c r="I147" s="13" t="inlineStr">
        <is>
          <t>⬜ Todo</t>
        </is>
      </c>
      <c r="J147" s="13" t="inlineStr">
        <is>
          <t>test/m11-8</t>
        </is>
      </c>
      <c r="K147" s="13" t="inlineStr"/>
      <c r="L147" s="13" t="inlineStr"/>
      <c r="M147" s="14" t="inlineStr">
        <is>
          <t>#331</t>
        </is>
      </c>
    </row>
    <row r="148">
      <c r="A148" s="5" t="inlineStr">
        <is>
          <t>11.9</t>
        </is>
      </c>
      <c r="B148" s="5" t="inlineStr">
        <is>
          <t>M11</t>
        </is>
      </c>
      <c r="C148" s="5" t="inlineStr">
        <is>
          <t>Automate the flows with Playwright on staging with a CHR router</t>
        </is>
      </c>
      <c r="D148" s="5" t="inlineStr">
        <is>
          <t>—</t>
        </is>
      </c>
      <c r="E148" s="5" t="inlineStr">
        <is>
          <t>Extension: frontend/tests-e2e/smoke.spec.ts (single test)</t>
        </is>
      </c>
      <c r="F148" s="5" t="inlineStr">
        <is>
          <t>QA</t>
        </is>
      </c>
      <c r="G148" s="6" t="n">
        <v>1</v>
      </c>
      <c r="H148" s="5" t="inlineStr">
        <is>
          <t>No</t>
        </is>
      </c>
      <c r="I148" s="13" t="inlineStr">
        <is>
          <t>⬜ Todo</t>
        </is>
      </c>
      <c r="J148" s="13" t="inlineStr">
        <is>
          <t>test/m11-9</t>
        </is>
      </c>
      <c r="K148" s="13" t="inlineStr"/>
      <c r="L148" s="13" t="inlineStr"/>
      <c r="M148" s="14" t="inlineStr">
        <is>
          <t>#332</t>
        </is>
      </c>
    </row>
    <row r="149">
      <c r="A149" s="5" t="inlineStr">
        <is>
          <t>11.10</t>
        </is>
      </c>
      <c r="B149" s="5" t="inlineStr">
        <is>
          <t>M11</t>
        </is>
      </c>
      <c r="C149" s="5" t="inlineStr">
        <is>
          <t>Regression tests for existing modules: discovery, booking, chat, CMS, partner API (Academy), notifications, POS</t>
        </is>
      </c>
      <c r="D149" s="5" t="inlineStr">
        <is>
          <t>—</t>
        </is>
      </c>
      <c r="E149" s="5" t="inlineStr">
        <is>
          <t>Existing: ≈607 Feature tests</t>
        </is>
      </c>
      <c r="F149" s="5" t="inlineStr">
        <is>
          <t>QA</t>
        </is>
      </c>
      <c r="G149" s="6" t="n">
        <v>0.75</v>
      </c>
      <c r="H149" s="5" t="inlineStr">
        <is>
          <t>No</t>
        </is>
      </c>
      <c r="I149" s="13" t="inlineStr">
        <is>
          <t>⬜ Todo</t>
        </is>
      </c>
      <c r="J149" s="13" t="inlineStr">
        <is>
          <t>test/m11-10</t>
        </is>
      </c>
      <c r="K149" s="13" t="inlineStr"/>
      <c r="L149" s="13" t="inlineStr"/>
      <c r="M149" s="14" t="inlineStr">
        <is>
          <t>#333</t>
        </is>
      </c>
    </row>
    <row r="150">
      <c r="A150" s="5" t="inlineStr">
        <is>
          <t>12.1</t>
        </is>
      </c>
      <c r="B150" s="5" t="inlineStr">
        <is>
          <t>M12</t>
        </is>
      </c>
      <c r="C150" s="5" t="inlineStr">
        <is>
          <t>Backup buffer on flash for pre-reboot events + option for a 10-minute snapshot during working hours</t>
        </is>
      </c>
      <c r="D150" s="5" t="inlineStr">
        <is>
          <t>Appendix B §B.5, R3</t>
        </is>
      </c>
      <c r="E150" s="5" t="inlineStr">
        <is>
          <t>New</t>
        </is>
      </c>
      <c r="F150" s="5" t="inlineStr">
        <is>
          <t>BE</t>
        </is>
      </c>
      <c r="G150" s="6" t="n">
        <v>0.75</v>
      </c>
      <c r="H150" s="5" t="inlineStr">
        <is>
          <t>No</t>
        </is>
      </c>
      <c r="I150" s="13" t="inlineStr">
        <is>
          <t>⬜ Todo</t>
        </is>
      </c>
      <c r="J150" s="13" t="inlineStr">
        <is>
          <t>chore/m12-1</t>
        </is>
      </c>
      <c r="K150" s="13" t="inlineStr"/>
      <c r="L150" s="13" t="inlineStr"/>
      <c r="M150" s="14" t="inlineStr">
        <is>
          <t>#334</t>
        </is>
      </c>
    </row>
    <row r="151">
      <c r="A151" s="5" t="inlineStr">
        <is>
          <t>12.2</t>
        </is>
      </c>
      <c r="B151" s="5" t="inlineStr">
        <is>
          <t>M12</t>
        </is>
      </c>
      <c r="C151" s="5" t="inlineStr">
        <is>
          <t>Fix the WAN IP in the snapshot and separate the "50 s exchange" from the "30 min snapshot" in the UI</t>
        </is>
      </c>
      <c r="D151" s="5" t="inlineStr">
        <is>
          <t>Appendix B §B.5</t>
        </is>
      </c>
      <c r="E151" s="5" t="inlineStr">
        <is>
          <t>New</t>
        </is>
      </c>
      <c r="F151" s="5" t="inlineStr">
        <is>
          <t>BE+FE</t>
        </is>
      </c>
      <c r="G151" s="6" t="n">
        <v>0.25</v>
      </c>
      <c r="H151" s="5" t="inlineStr">
        <is>
          <t>No</t>
        </is>
      </c>
      <c r="I151" s="13" t="inlineStr">
        <is>
          <t>⬜ Todo</t>
        </is>
      </c>
      <c r="J151" s="13" t="inlineStr">
        <is>
          <t>chore/m12-2</t>
        </is>
      </c>
      <c r="K151" s="13" t="inlineStr"/>
      <c r="L151" s="13" t="inlineStr"/>
      <c r="M151" s="14" t="inlineStr">
        <is>
          <t>#335</t>
        </is>
      </c>
    </row>
    <row r="152">
      <c r="A152" s="5" t="inlineStr">
        <is>
          <t>12.3</t>
        </is>
      </c>
      <c r="B152" s="5" t="inlineStr">
        <is>
          <t>M12</t>
        </is>
      </c>
      <c r="C152" s="5" t="inlineStr">
        <is>
          <t>k6 load test: 2,048 sessions, 50 concurrent workspaces, power-restoration burst, /sync ≤ 300ms</t>
        </is>
      </c>
      <c r="D152" s="5" t="inlineStr">
        <is>
          <t>NFR-PERF</t>
        </is>
      </c>
      <c r="E152" s="5" t="inlineStr">
        <is>
          <t>New</t>
        </is>
      </c>
      <c r="F152" s="5" t="inlineStr">
        <is>
          <t>QA</t>
        </is>
      </c>
      <c r="G152" s="6" t="n">
        <v>1</v>
      </c>
      <c r="H152" s="5" t="inlineStr">
        <is>
          <t>No</t>
        </is>
      </c>
      <c r="I152" s="13" t="inlineStr">
        <is>
          <t>⬜ Todo</t>
        </is>
      </c>
      <c r="J152" s="13" t="inlineStr">
        <is>
          <t>chore/m12-3</t>
        </is>
      </c>
      <c r="K152" s="13" t="inlineStr"/>
      <c r="L152" s="13" t="inlineStr"/>
      <c r="M152" s="14" t="inlineStr">
        <is>
          <t>#336</t>
        </is>
      </c>
    </row>
    <row r="153">
      <c r="A153" s="5" t="inlineStr">
        <is>
          <t>12.4</t>
        </is>
      </c>
      <c r="B153" s="5" t="inlineStr">
        <is>
          <t>M12</t>
        </is>
      </c>
      <c r="C153" s="5" t="inlineStr">
        <is>
          <t>Basic penetration test of the API and role permissions + security code review</t>
        </is>
      </c>
      <c r="D153" s="5" t="inlineStr">
        <is>
          <t>NFR-SEC</t>
        </is>
      </c>
      <c r="E153" s="5" t="inlineStr">
        <is>
          <t>New</t>
        </is>
      </c>
      <c r="F153" s="5" t="inlineStr">
        <is>
          <t>QA</t>
        </is>
      </c>
      <c r="G153" s="6" t="n">
        <v>1</v>
      </c>
      <c r="H153" s="5" t="inlineStr">
        <is>
          <t>No</t>
        </is>
      </c>
      <c r="I153" s="13" t="inlineStr">
        <is>
          <t>⬜ Todo</t>
        </is>
      </c>
      <c r="J153" s="13" t="inlineStr">
        <is>
          <t>chore/m12-4</t>
        </is>
      </c>
      <c r="K153" s="13" t="inlineStr"/>
      <c r="L153" s="13" t="inlineStr"/>
      <c r="M153" s="14" t="inlineStr">
        <is>
          <t>#337</t>
        </is>
      </c>
    </row>
    <row r="154">
      <c r="A154" s="5" t="inlineStr">
        <is>
          <t>12.5</t>
        </is>
      </c>
      <c r="B154" s="5" t="inlineStr">
        <is>
          <t>M12</t>
        </is>
      </c>
      <c r="C154" s="5" t="inlineStr">
        <is>
          <t>Monitoring: Sentry (BE/FE), uptime monitoring, alert when queues or routers stop</t>
        </is>
      </c>
      <c r="D154" s="5" t="inlineStr">
        <is>
          <t>NFR-PERF</t>
        </is>
      </c>
      <c r="E154" s="5" t="inlineStr">
        <is>
          <t>New</t>
        </is>
      </c>
      <c r="F154" s="5" t="inlineStr">
        <is>
          <t>Ops</t>
        </is>
      </c>
      <c r="G154" s="6" t="n">
        <v>0.5</v>
      </c>
      <c r="H154" s="5" t="inlineStr">
        <is>
          <t>No</t>
        </is>
      </c>
      <c r="I154" s="13" t="inlineStr">
        <is>
          <t>⬜ Todo</t>
        </is>
      </c>
      <c r="J154" s="13" t="inlineStr">
        <is>
          <t>chore/m12-5</t>
        </is>
      </c>
      <c r="K154" s="13" t="inlineStr"/>
      <c r="L154" s="13" t="inlineStr"/>
      <c r="M154" s="14" t="inlineStr">
        <is>
          <t>#338</t>
        </is>
      </c>
    </row>
    <row r="155">
      <c r="A155" s="5" t="inlineStr">
        <is>
          <t>12.6</t>
        </is>
      </c>
      <c r="B155" s="5" t="inlineStr">
        <is>
          <t>M12</t>
        </is>
      </c>
      <c r="C155" s="5" t="inlineStr">
        <is>
          <t>Localization review and terminology unification (no machine-translated text and no leftover English) + glossary</t>
        </is>
      </c>
      <c r="D155" s="5" t="inlineStr">
        <is>
          <t>NFR-I18N, §7.3</t>
        </is>
      </c>
      <c r="E155" s="5" t="inlineStr">
        <is>
          <t>Extension: frontend messages files</t>
        </is>
      </c>
      <c r="F155" s="5" t="inlineStr">
        <is>
          <t>FE+PM</t>
        </is>
      </c>
      <c r="G155" s="6" t="n">
        <v>1</v>
      </c>
      <c r="H155" s="5" t="inlineStr">
        <is>
          <t>No</t>
        </is>
      </c>
      <c r="I155" s="13" t="inlineStr">
        <is>
          <t>⬜ Todo</t>
        </is>
      </c>
      <c r="J155" s="13" t="inlineStr">
        <is>
          <t>chore/m12-6</t>
        </is>
      </c>
      <c r="K155" s="13" t="inlineStr"/>
      <c r="L155" s="13" t="inlineStr"/>
      <c r="M155" s="14" t="inlineStr">
        <is>
          <t>#339</t>
        </is>
      </c>
    </row>
    <row r="156">
      <c r="A156" s="5" t="inlineStr">
        <is>
          <t>12.7</t>
        </is>
      </c>
      <c r="B156" s="5" t="inlineStr">
        <is>
          <t>M12</t>
        </is>
      </c>
      <c r="C156" s="5" t="inlineStr">
        <is>
          <t>Performance: indexes, Redis cache for the live monitor, slow queries, N+1 prevention</t>
        </is>
      </c>
      <c r="D156" s="5" t="inlineStr">
        <is>
          <t>NFR-PERF</t>
        </is>
      </c>
      <c r="E156" s="5" t="inlineStr">
        <is>
          <t>New</t>
        </is>
      </c>
      <c r="F156" s="5" t="inlineStr">
        <is>
          <t>BE</t>
        </is>
      </c>
      <c r="G156" s="6" t="n">
        <v>0.75</v>
      </c>
      <c r="H156" s="5" t="inlineStr">
        <is>
          <t>No</t>
        </is>
      </c>
      <c r="I156" s="13" t="inlineStr">
        <is>
          <t>⬜ Todo</t>
        </is>
      </c>
      <c r="J156" s="13" t="inlineStr">
        <is>
          <t>chore/m12-7</t>
        </is>
      </c>
      <c r="K156" s="13" t="inlineStr"/>
      <c r="L156" s="13" t="inlineStr"/>
      <c r="M156" s="14" t="inlineStr">
        <is>
          <t>#340</t>
        </is>
      </c>
    </row>
    <row r="157">
      <c r="A157" s="5" t="inlineStr">
        <is>
          <t>12.8</t>
        </is>
      </c>
      <c r="B157" s="5" t="inlineStr">
        <is>
          <t>M12</t>
        </is>
      </c>
      <c r="C157" s="5" t="inlineStr">
        <is>
          <t>Data retention and privacy policy (MAC, sessions) and its enforcement</t>
        </is>
      </c>
      <c r="D157" s="5" t="inlineStr">
        <is>
          <t>open question 4</t>
        </is>
      </c>
      <c r="E157" s="5" t="inlineStr">
        <is>
          <t>New</t>
        </is>
      </c>
      <c r="F157" s="5" t="inlineStr">
        <is>
          <t>BE</t>
        </is>
      </c>
      <c r="G157" s="6" t="n">
        <v>0.25</v>
      </c>
      <c r="H157" s="5" t="inlineStr">
        <is>
          <t>No</t>
        </is>
      </c>
      <c r="I157" s="13" t="inlineStr">
        <is>
          <t>⬜ Todo</t>
        </is>
      </c>
      <c r="J157" s="13" t="inlineStr">
        <is>
          <t>chore/m12-8</t>
        </is>
      </c>
      <c r="K157" s="13" t="inlineStr"/>
      <c r="L157" s="13" t="inlineStr"/>
      <c r="M157" s="14" t="inlineStr">
        <is>
          <t>#341</t>
        </is>
      </c>
    </row>
    <row r="158">
      <c r="A158" s="5" t="inlineStr">
        <is>
          <t>13.1</t>
        </is>
      </c>
      <c r="B158" s="5" t="inlineStr">
        <is>
          <t>M13</t>
        </is>
      </c>
      <c r="C158" s="5" t="inlineStr">
        <is>
          <t>Final migration of TAQAT GAZA data (461 subscribers, 1,149 devices, contracts, statistics) + reconciliation report</t>
        </is>
      </c>
      <c r="D158" s="5" t="inlineStr">
        <is>
          <t>§7.3</t>
        </is>
      </c>
      <c r="E158" s="5" t="inlineStr">
        <is>
          <t>New</t>
        </is>
      </c>
      <c r="F158" s="5" t="inlineStr">
        <is>
          <t>BE</t>
        </is>
      </c>
      <c r="G158" s="6" t="n">
        <v>1.5</v>
      </c>
      <c r="H158" s="5" t="inlineStr">
        <is>
          <t>No</t>
        </is>
      </c>
      <c r="I158" s="13" t="inlineStr">
        <is>
          <t>⬜ Todo</t>
        </is>
      </c>
      <c r="J158" s="13" t="inlineStr">
        <is>
          <t>release/m13-1</t>
        </is>
      </c>
      <c r="K158" s="13" t="inlineStr"/>
      <c r="L158" s="13" t="inlineStr"/>
      <c r="M158" s="14" t="inlineStr">
        <is>
          <t>#342</t>
        </is>
      </c>
    </row>
    <row r="159">
      <c r="A159" s="5" t="inlineStr">
        <is>
          <t>13.2</t>
        </is>
      </c>
      <c r="B159" s="5" t="inlineStr">
        <is>
          <t>M13</t>
        </is>
      </c>
      <c r="C159" s="5" t="inlineStr">
        <is>
          <t>Data cleanup: merge duplicates, complete incomplete profiles (24), fix numeric names and "Guset"</t>
        </is>
      </c>
      <c r="D159" s="5" t="inlineStr">
        <is>
          <t>§7.4 (5)</t>
        </is>
      </c>
      <c r="E159" s="5" t="inlineStr">
        <is>
          <t>New</t>
        </is>
      </c>
      <c r="F159" s="5" t="inlineStr">
        <is>
          <t>PM+BE</t>
        </is>
      </c>
      <c r="G159" s="6" t="n">
        <v>0.75</v>
      </c>
      <c r="H159" s="5" t="inlineStr">
        <is>
          <t>No</t>
        </is>
      </c>
      <c r="I159" s="13" t="inlineStr">
        <is>
          <t>⬜ Todo</t>
        </is>
      </c>
      <c r="J159" s="13" t="inlineStr">
        <is>
          <t>release/m13-2</t>
        </is>
      </c>
      <c r="K159" s="13" t="inlineStr"/>
      <c r="L159" s="13" t="inlineStr"/>
      <c r="M159" s="14" t="inlineStr">
        <is>
          <t>#343</t>
        </is>
      </c>
    </row>
    <row r="160">
      <c r="A160" s="5" t="inlineStr">
        <is>
          <t>13.3</t>
        </is>
      </c>
      <c r="B160" s="5" t="inlineStr">
        <is>
          <t>M13</t>
        </is>
      </c>
      <c r="C160" s="5" t="inlineStr">
        <is>
          <t>Actual setup: 80 stations, plans, link 82 active subscribers to financial subscriptions, review the high-usage threshold</t>
        </is>
      </c>
      <c r="D160" s="5" t="inlineStr">
        <is>
          <t>§7.4 (1, 2, 7)</t>
        </is>
      </c>
      <c r="E160" s="5" t="inlineStr">
        <is>
          <t>New</t>
        </is>
      </c>
      <c r="F160" s="5" t="inlineStr">
        <is>
          <t>PM</t>
        </is>
      </c>
      <c r="G160" s="6" t="n">
        <v>0.75</v>
      </c>
      <c r="H160" s="5" t="inlineStr">
        <is>
          <t>No</t>
        </is>
      </c>
      <c r="I160" s="13" t="inlineStr">
        <is>
          <t>⬜ Todo</t>
        </is>
      </c>
      <c r="J160" s="13" t="inlineStr">
        <is>
          <t>release/m13-3</t>
        </is>
      </c>
      <c r="K160" s="13" t="inlineStr"/>
      <c r="L160" s="13" t="inlineStr"/>
      <c r="M160" s="14" t="inlineStr">
        <is>
          <t>#344</t>
        </is>
      </c>
    </row>
    <row r="161">
      <c r="A161" s="5" t="inlineStr">
        <is>
          <t>13.4</t>
        </is>
      </c>
      <c r="B161" s="5" t="inlineStr">
        <is>
          <t>M13</t>
        </is>
      </c>
      <c r="C161" s="5" t="inlineStr">
        <is>
          <t>UAT with the workspace owner, staff, super admin and a sample of freelancers</t>
        </is>
      </c>
      <c r="D161" s="5" t="inlineStr">
        <is>
          <t>—</t>
        </is>
      </c>
      <c r="E161" s="5" t="inlineStr">
        <is>
          <t>New</t>
        </is>
      </c>
      <c r="F161" s="5" t="inlineStr">
        <is>
          <t>PM+QA</t>
        </is>
      </c>
      <c r="G161" s="6" t="n">
        <v>1.5</v>
      </c>
      <c r="H161" s="5" t="inlineStr">
        <is>
          <t>No</t>
        </is>
      </c>
      <c r="I161" s="13" t="inlineStr">
        <is>
          <t>⬜ Todo</t>
        </is>
      </c>
      <c r="J161" s="13" t="inlineStr">
        <is>
          <t>release/m13-4</t>
        </is>
      </c>
      <c r="K161" s="13" t="inlineStr"/>
      <c r="L161" s="13" t="inlineStr"/>
      <c r="M161" s="14" t="inlineStr">
        <is>
          <t>#345</t>
        </is>
      </c>
    </row>
    <row r="162">
      <c r="A162" s="5" t="inlineStr">
        <is>
          <t>13.5</t>
        </is>
      </c>
      <c r="B162" s="5" t="inlineStr">
        <is>
          <t>M13</t>
        </is>
      </c>
      <c r="C162" s="5" t="inlineStr">
        <is>
          <t>Training and user guides for each role</t>
        </is>
      </c>
      <c r="D162" s="5" t="inlineStr">
        <is>
          <t>—</t>
        </is>
      </c>
      <c r="E162" s="5" t="inlineStr">
        <is>
          <t>New</t>
        </is>
      </c>
      <c r="F162" s="5" t="inlineStr">
        <is>
          <t>PM</t>
        </is>
      </c>
      <c r="G162" s="6" t="n">
        <v>0.75</v>
      </c>
      <c r="H162" s="5" t="inlineStr">
        <is>
          <t>No</t>
        </is>
      </c>
      <c r="I162" s="13" t="inlineStr">
        <is>
          <t>⬜ Todo</t>
        </is>
      </c>
      <c r="J162" s="13" t="inlineStr">
        <is>
          <t>release/m13-5</t>
        </is>
      </c>
      <c r="K162" s="13" t="inlineStr"/>
      <c r="L162" s="13" t="inlineStr"/>
      <c r="M162" s="14" t="inlineStr">
        <is>
          <t>#346</t>
        </is>
      </c>
    </row>
    <row r="163">
      <c r="A163" s="5" t="inlineStr">
        <is>
          <t>13.8</t>
        </is>
      </c>
      <c r="B163" s="5" t="inlineStr">
        <is>
          <t>M13</t>
        </is>
      </c>
      <c r="C163" s="5" t="inlineStr">
        <is>
          <t>Rollback-plan drill before cutover: re-enable the CoWorkSpaces script and verify, then remove it</t>
        </is>
      </c>
      <c r="D163" s="5" t="inlineStr">
        <is>
          <t>—</t>
        </is>
      </c>
      <c r="E163" s="5" t="inlineStr">
        <is>
          <t>New</t>
        </is>
      </c>
      <c r="F163" s="5" t="inlineStr">
        <is>
          <t>Ops</t>
        </is>
      </c>
      <c r="G163" s="6" t="n">
        <v>0.25</v>
      </c>
      <c r="H163" s="5" t="inlineStr">
        <is>
          <t>No</t>
        </is>
      </c>
      <c r="I163" s="13" t="inlineStr">
        <is>
          <t>⬜ Todo</t>
        </is>
      </c>
      <c r="J163" s="13" t="inlineStr">
        <is>
          <t>release/m13-8</t>
        </is>
      </c>
      <c r="K163" s="13" t="inlineStr"/>
      <c r="L163" s="13" t="inlineStr"/>
      <c r="M163" s="14" t="inlineStr">
        <is>
          <t>#347</t>
        </is>
      </c>
    </row>
    <row r="164">
      <c r="A164" s="5" t="inlineStr">
        <is>
          <t>13.6</t>
        </is>
      </c>
      <c r="B164" s="5" t="inlineStr">
        <is>
          <t>M13</t>
        </is>
      </c>
      <c r="C164" s="5" t="inlineStr">
        <is>
          <t>Cutover from CoWorkSpaces: remove their script and enable the full TaqatSpace hooks on the router</t>
        </is>
      </c>
      <c r="D164" s="5" t="inlineStr">
        <is>
          <t>—</t>
        </is>
      </c>
      <c r="E164" s="5" t="inlineStr">
        <is>
          <t>New</t>
        </is>
      </c>
      <c r="F164" s="5" t="inlineStr">
        <is>
          <t>Ops</t>
        </is>
      </c>
      <c r="G164" s="6" t="n">
        <v>0.25</v>
      </c>
      <c r="H164" s="5" t="inlineStr">
        <is>
          <t>No</t>
        </is>
      </c>
      <c r="I164" s="13" t="inlineStr">
        <is>
          <t>⬜ Todo</t>
        </is>
      </c>
      <c r="J164" s="13" t="inlineStr">
        <is>
          <t>release/m13-6</t>
        </is>
      </c>
      <c r="K164" s="13" t="inlineStr"/>
      <c r="L164" s="13" t="inlineStr"/>
      <c r="M164" s="14" t="inlineStr">
        <is>
          <t>#348</t>
        </is>
      </c>
    </row>
    <row r="165">
      <c r="A165" s="5" t="inlineStr">
        <is>
          <t>13.7</t>
        </is>
      </c>
      <c r="B165" s="5" t="inlineStr">
        <is>
          <t>M13</t>
        </is>
      </c>
      <c r="C165" s="5" t="inlineStr">
        <is>
          <t>Hypercare: first-week monitoring + close of the first full operating month (UR + claim)</t>
        </is>
      </c>
      <c r="D165" s="5" t="inlineStr">
        <is>
          <t>—</t>
        </is>
      </c>
      <c r="E165" s="5" t="inlineStr">
        <is>
          <t>New</t>
        </is>
      </c>
      <c r="F165" s="5" t="inlineStr">
        <is>
          <t>All</t>
        </is>
      </c>
      <c r="G165" s="6" t="n">
        <v>2.5</v>
      </c>
      <c r="H165" s="5" t="inlineStr">
        <is>
          <t>No</t>
        </is>
      </c>
      <c r="I165" s="13" t="inlineStr">
        <is>
          <t>⬜ Todo</t>
        </is>
      </c>
      <c r="J165" s="13" t="inlineStr">
        <is>
          <t>release/m13-7</t>
        </is>
      </c>
      <c r="K165" s="13" t="inlineStr"/>
      <c r="L165" s="13" t="inlineStr"/>
      <c r="M165" s="14" t="inlineStr">
        <is>
          <t>#349</t>
        </is>
      </c>
    </row>
  </sheetData>
  <autoFilter ref="A1:M165"/>
  <conditionalFormatting sqref="I2:I165">
    <cfRule type="cellIs" priority="1" operator="equal" dxfId="0">
      <formula>"✅ Done"</formula>
    </cfRule>
    <cfRule type="cellIs" priority="2" operator="equal" dxfId="1">
      <formula>"🟨 In progress"</formula>
    </cfRule>
    <cfRule type="cellIs" priority="3" operator="equal" dxfId="2">
      <formula>"⛔ Blocked"</formula>
    </cfRule>
  </conditionalFormatting>
  <dataValidations count="1">
    <dataValidation sqref="I2:I165" showDropDown="0" showInputMessage="0" showErrorMessage="0" allowBlank="0" type="list">
      <formula1>"⬜ Todo,🟨 In progress,✅ Done,⛔ Blocked"</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0" customWidth="1" min="3" max="3"/>
  </cols>
  <sheetData>
    <row r="1">
      <c r="A1" s="4" t="inlineStr">
        <is>
          <t>Type</t>
        </is>
      </c>
      <c r="B1" s="4" t="inlineStr">
        <is>
          <t>Effort (days)</t>
        </is>
      </c>
      <c r="C1" s="4" t="inlineStr">
        <is>
          <t>Share</t>
        </is>
      </c>
    </row>
    <row r="2">
      <c r="A2" s="2" t="inlineStr">
        <is>
          <t>All</t>
        </is>
      </c>
      <c r="B2" s="15">
        <f>SUMIFS(Tasks!$G$2:$G$165,Tasks!$F$2:$F$165,A2)</f>
        <v/>
      </c>
      <c r="C2" s="16">
        <f>IFERROR(B2/SUM($B$2:$B$12),0)</f>
        <v/>
      </c>
    </row>
    <row r="3">
      <c r="A3" s="2" t="inlineStr">
        <is>
          <t>BE</t>
        </is>
      </c>
      <c r="B3" s="15">
        <f>SUMIFS(Tasks!$G$2:$G$165,Tasks!$F$2:$F$165,A3)</f>
        <v/>
      </c>
      <c r="C3" s="16">
        <f>IFERROR(B3/SUM($B$2:$B$12),0)</f>
        <v/>
      </c>
    </row>
    <row r="4">
      <c r="A4" s="2" t="inlineStr">
        <is>
          <t>BE+FE</t>
        </is>
      </c>
      <c r="B4" s="15">
        <f>SUMIFS(Tasks!$G$2:$G$165,Tasks!$F$2:$F$165,A4)</f>
        <v/>
      </c>
      <c r="C4" s="16">
        <f>IFERROR(B4/SUM($B$2:$B$12),0)</f>
        <v/>
      </c>
    </row>
    <row r="5">
      <c r="A5" s="2" t="inlineStr">
        <is>
          <t>BE+Ops</t>
        </is>
      </c>
      <c r="B5" s="15">
        <f>SUMIFS(Tasks!$G$2:$G$165,Tasks!$F$2:$F$165,A5)</f>
        <v/>
      </c>
      <c r="C5" s="16">
        <f>IFERROR(B5/SUM($B$2:$B$12),0)</f>
        <v/>
      </c>
    </row>
    <row r="6">
      <c r="A6" s="2" t="inlineStr">
        <is>
          <t>FE</t>
        </is>
      </c>
      <c r="B6" s="15">
        <f>SUMIFS(Tasks!$G$2:$G$165,Tasks!$F$2:$F$165,A6)</f>
        <v/>
      </c>
      <c r="C6" s="16">
        <f>IFERROR(B6/SUM($B$2:$B$12),0)</f>
        <v/>
      </c>
    </row>
    <row r="7">
      <c r="A7" s="2" t="inlineStr">
        <is>
          <t>FE+PM</t>
        </is>
      </c>
      <c r="B7" s="15">
        <f>SUMIFS(Tasks!$G$2:$G$165,Tasks!$F$2:$F$165,A7)</f>
        <v/>
      </c>
      <c r="C7" s="16">
        <f>IFERROR(B7/SUM($B$2:$B$12),0)</f>
        <v/>
      </c>
    </row>
    <row r="8">
      <c r="A8" s="2" t="inlineStr">
        <is>
          <t>Ops</t>
        </is>
      </c>
      <c r="B8" s="15">
        <f>SUMIFS(Tasks!$G$2:$G$165,Tasks!$F$2:$F$165,A8)</f>
        <v/>
      </c>
      <c r="C8" s="16">
        <f>IFERROR(B8/SUM($B$2:$B$12),0)</f>
        <v/>
      </c>
    </row>
    <row r="9">
      <c r="A9" s="2" t="inlineStr">
        <is>
          <t>PM</t>
        </is>
      </c>
      <c r="B9" s="15">
        <f>SUMIFS(Tasks!$G$2:$G$165,Tasks!$F$2:$F$165,A9)</f>
        <v/>
      </c>
      <c r="C9" s="16">
        <f>IFERROR(B9/SUM($B$2:$B$12),0)</f>
        <v/>
      </c>
    </row>
    <row r="10">
      <c r="A10" s="2" t="inlineStr">
        <is>
          <t>PM+BE</t>
        </is>
      </c>
      <c r="B10" s="15">
        <f>SUMIFS(Tasks!$G$2:$G$165,Tasks!$F$2:$F$165,A10)</f>
        <v/>
      </c>
      <c r="C10" s="16">
        <f>IFERROR(B10/SUM($B$2:$B$12),0)</f>
        <v/>
      </c>
    </row>
    <row r="11">
      <c r="A11" s="2" t="inlineStr">
        <is>
          <t>PM+QA</t>
        </is>
      </c>
      <c r="B11" s="15">
        <f>SUMIFS(Tasks!$G$2:$G$165,Tasks!$F$2:$F$165,A11)</f>
        <v/>
      </c>
      <c r="C11" s="16">
        <f>IFERROR(B11/SUM($B$2:$B$12),0)</f>
        <v/>
      </c>
    </row>
    <row r="12">
      <c r="A12" s="2" t="inlineStr">
        <is>
          <t>QA</t>
        </is>
      </c>
      <c r="B12" s="15">
        <f>SUMIFS(Tasks!$G$2:$G$165,Tasks!$F$2:$F$165,A12)</f>
        <v/>
      </c>
      <c r="C12" s="16">
        <f>IFERROR(B12/SUM($B$2:$B$12),0)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26" customWidth="1" min="1" max="1"/>
    <col width="14" customWidth="1" min="2" max="2"/>
    <col width="50" customWidth="1" min="3" max="3"/>
    <col width="8" customWidth="1" min="4" max="4"/>
    <col width="55" customWidth="1" min="5" max="5"/>
    <col width="60" customWidth="1" min="6" max="6"/>
  </cols>
  <sheetData>
    <row r="1">
      <c r="A1" s="4" t="inlineStr">
        <is>
          <t>Section</t>
        </is>
      </c>
      <c r="B1" s="4" t="inlineStr">
        <is>
          <t>ID</t>
        </is>
      </c>
      <c r="C1" s="4" t="inlineStr">
        <is>
          <t>Requirement</t>
        </is>
      </c>
      <c r="D1" s="4" t="inlineStr">
        <is>
          <t>Status</t>
        </is>
      </c>
      <c r="E1" s="4" t="inlineStr">
        <is>
          <t>Existing today</t>
        </is>
      </c>
      <c r="F1" s="4" t="inlineStr">
        <is>
          <t>Missing</t>
        </is>
      </c>
    </row>
    <row r="2">
      <c r="A2" s="5" t="inlineStr">
        <is>
          <t>§2.3 Subscription types</t>
        </is>
      </c>
      <c r="B2" s="5" t="inlineStr">
        <is>
          <t>SUBTYPE</t>
        </is>
      </c>
      <c r="C2" s="5" t="inlineStr">
        <is>
          <t>Subscription types: monthly, weekly, daily, hourly, visitor, staff + plan pricing methods (fixed, by hours, by GB, package with a cap and validity)</t>
        </is>
      </c>
      <c r="D2" s="5" t="inlineStr">
        <is>
          <t>🟨</t>
        </is>
      </c>
      <c r="E2" s="5" t="inlineStr">
        <is>
          <t>backend/app/Enums/PlanType.php (monthly/daily/custom), backend/app/Models/Subscription.php, backend/app/Models/InternetPackage.php</t>
        </is>
      </c>
      <c r="F2" s="5" t="inlineStr">
        <is>
          <t>Add weekly, hourly, visitor, and staff to PlanType; financial plan model with 6 pricing methods (hours/GB/package with validity); link the subscription to the plan and the overage price</t>
        </is>
      </c>
    </row>
    <row r="3">
      <c r="A3" s="5" t="inlineStr">
        <is>
          <t>§2.2 / §6 Workspace staff</t>
        </is>
      </c>
      <c r="B3" s="5" t="inlineStr">
        <is>
          <t>STAFF-01</t>
        </is>
      </c>
      <c r="C3" s="5" t="inlineStr">
        <is>
          <t>Invite staff by email + preset groups (cash desk/hospitality/finance supervisor) or individual permissions</t>
        </is>
      </c>
      <c r="D3" s="5" t="inlineStr">
        <is>
          <t>🟨</t>
        </is>
      </c>
      <c r="E3" s="5" t="inlineStr">
        <is>
          <t>backend/app/Services/Pos/CashierManagementService.php, backend/app/Enums/PosPermission.php (4 POS permissions only), frontend/src/components/features/owner/CashiersManager.tsx</t>
        </is>
      </c>
      <c r="F3" s="5" t="inlineStr">
        <is>
          <t>Broaden the role from "POS cashier" to general workspace staff with financial permissions (invoices, expenses, items, import, reports); preset groups; /settings/staff page</t>
        </is>
      </c>
    </row>
    <row r="4">
      <c r="A4" s="5" t="inlineStr">
        <is>
          <t>§2.2 / §6 Workspace staff</t>
        </is>
      </c>
      <c r="B4" s="5" t="inlineStr">
        <is>
          <t>SEC-2FA</t>
        </is>
      </c>
      <c r="C4" s="5" t="inlineStr">
        <is>
          <t>Two-factor authentication (2FA) for issuing/cancelling invoices (for staff)</t>
        </is>
      </c>
      <c r="D4" s="5" t="inlineStr">
        <is>
          <t>⬜</t>
        </is>
      </c>
      <c r="E4" s="5" t="inlineStr">
        <is>
          <t>None (no TOTP/OTP in backend/app)</t>
        </is>
      </c>
      <c r="F4" s="5" t="inlineStr">
        <is>
          <t>TOTP or OTP via email/SMS, device registration, middleware enforcing it on invoice issue/cancel</t>
        </is>
      </c>
    </row>
    <row r="5">
      <c r="A5" s="5" t="inlineStr">
        <is>
          <t>§2.2 / §6 Workspace staff</t>
        </is>
      </c>
      <c r="B5" s="5" t="inlineStr">
        <is>
          <t>UX-KBD</t>
        </is>
      </c>
      <c r="C5" s="5" t="inlineStr">
        <is>
          <t>Keyboard shortcuts (F2 select subscriber, Alt+S/A/R/L)</t>
        </is>
      </c>
      <c r="D5" s="5" t="inlineStr">
        <is>
          <t>⬜</t>
        </is>
      </c>
      <c r="E5" s="5" t="inlineStr">
        <is>
          <t>frontend/src/components/layout/DashShell.tsx (Escape only)</t>
        </is>
      </c>
      <c r="F5" s="5" t="inlineStr">
        <is>
          <t>Global shortcuts hook, F2 in PosTerminal.tsx, dashboard shortcuts, shortcuts help</t>
        </is>
      </c>
    </row>
    <row r="6">
      <c r="A6" s="5" t="inlineStr">
        <is>
          <t>§3.1 Home</t>
        </is>
      </c>
      <c r="B6" s="5" t="inlineStr">
        <is>
          <t>FR-DSH-01</t>
        </is>
      </c>
      <c r="C6" s="5" t="inlineStr">
        <is>
          <t>Workspace health score /100 from four components + recommendations</t>
        </is>
      </c>
      <c r="D6" s="5" t="inlineStr">
        <is>
          <t>⬜</t>
        </is>
      </c>
      <c r="E6" s="5" t="inlineStr">
        <is>
          <t>backend/app/Services/OwnerDashboardService.php (occupancy, revenue only)</t>
        </is>
      </c>
      <c r="F6" s="5" t="inlineStr">
        <is>
          <t>Score algorithm (usage/retention/activity/connectivity) and text recommendations; connectivity and activity depend on attendance data that does not exist</t>
        </is>
      </c>
    </row>
    <row r="7">
      <c r="A7" s="5" t="inlineStr">
        <is>
          <t>§3.1 Home</t>
        </is>
      </c>
      <c r="B7" s="5" t="inlineStr">
        <is>
          <t>FR-DSH-02</t>
        </is>
      </c>
      <c r="C7" s="5" t="inlineStr">
        <is>
          <t>KPI cards: active, connected now, today's attendance, UR, download/upload, DAU/WAU/MAU, devices</t>
        </is>
      </c>
      <c r="D7" s="5" t="inlineStr">
        <is>
          <t>🟨</t>
        </is>
      </c>
      <c r="E7" s="5" t="inlineStr">
        <is>
          <t>backend/app/Services/OwnerDashboardService.php, frontend/src/app/[locale]/(dashboard)/owner/page.tsx</t>
        </is>
      </c>
      <c r="F7" s="5" t="inlineStr">
        <is>
          <t>Existing: active, occupancy, available seats, pending requests, overdue invoices. Missing: all network, attendance, and UR cards</t>
        </is>
      </c>
    </row>
    <row r="8">
      <c r="A8" s="5" t="inlineStr">
        <is>
          <t>§3.1 Home</t>
        </is>
      </c>
      <c r="B8" s="5" t="inlineStr">
        <is>
          <t>FR-DSH-03</t>
        </is>
      </c>
      <c r="C8" s="5" t="inlineStr">
        <is>
          <t>Charts: 30-day activity, type distribution, internet consumption, peak hours, days of the week</t>
        </is>
      </c>
      <c r="D8" s="5" t="inlineStr">
        <is>
          <t>🟨</t>
        </is>
      </c>
      <c r="E8" s="5" t="inlineStr">
        <is>
          <t>backend/app/Services/OwnerDashboardService.php (revenue_chart 6 months, members_by_status, members_by_gender), frontend/src/app/[locale]/(dashboard)/owner/page.tsx</t>
        </is>
      </c>
      <c r="F8" s="5" t="inlineStr">
        <is>
          <t>Activity, consumption, peak-hour, and weekday charts (require attendance/network); subscription-type distribution instead of status</t>
        </is>
      </c>
    </row>
    <row r="9">
      <c r="A9" s="5" t="inlineStr">
        <is>
          <t>§3.1 Home</t>
        </is>
      </c>
      <c r="B9" s="5" t="inlineStr">
        <is>
          <t>FR-DSH-04</t>
        </is>
      </c>
      <c r="C9" s="5" t="inlineStr">
        <is>
          <t>Growth and engagement: new, retention, at risk of dropping off (14+ days), DAU/MAU</t>
        </is>
      </c>
      <c r="D9" s="5" t="inlineStr">
        <is>
          <t>⬜</t>
        </is>
      </c>
      <c r="E9" s="5" t="inlineStr">
        <is>
          <t>None (OwnerDashboardService does not compute them)</t>
        </is>
      </c>
      <c r="F9" s="5" t="inlineStr">
        <is>
          <t>Compute new members and retention; the drop-off indicator requires activity data</t>
        </is>
      </c>
    </row>
    <row r="10">
      <c r="A10" s="5" t="inlineStr">
        <is>
          <t>§3.1 Home</t>
        </is>
      </c>
      <c r="B10" s="5" t="inlineStr">
        <is>
          <t>FR-DSH-05</t>
        </is>
      </c>
      <c r="C10" s="5" t="inlineStr">
        <is>
          <t>Expected revenue, ARPU, seat occupancy rate (as an estimate)</t>
        </is>
      </c>
      <c r="D10" s="5" t="inlineStr">
        <is>
          <t>🟨</t>
        </is>
      </c>
      <c r="E10" s="5" t="inlineStr">
        <is>
          <t>backend/app/Services/OwnerDashboardService.php (occupancy_pct, revenue_this_month/last_month)</t>
        </is>
      </c>
      <c r="F10" s="5" t="inlineStr">
        <is>
          <t>Expected revenue and ARPU, and labeling it as an estimate</t>
        </is>
      </c>
    </row>
    <row r="11">
      <c r="A11" s="5" t="inlineStr">
        <is>
          <t>§3.1 Home</t>
        </is>
      </c>
      <c r="B11" s="5" t="inlineStr">
        <is>
          <t>FR-DSH-06</t>
        </is>
      </c>
      <c r="C11" s="5" t="inlineStr">
        <is>
          <t>Subscriber segments: champions, at risk, churned, new, dormant, regulars</t>
        </is>
      </c>
      <c r="D11" s="5" t="inlineStr">
        <is>
          <t>⬜</t>
        </is>
      </c>
      <c r="E11" s="5" t="inlineStr">
        <is>
          <t>None</t>
        </is>
      </c>
      <c r="F11" s="5" t="inlineStr">
        <is>
          <t>Segmentation engine based on the attendance/usage log</t>
        </is>
      </c>
    </row>
    <row r="12">
      <c r="A12" s="5" t="inlineStr">
        <is>
          <t>§3.1 Home</t>
        </is>
      </c>
      <c r="B12" s="5" t="inlineStr">
        <is>
          <t>FR-DSH-07</t>
        </is>
      </c>
      <c r="C12" s="5" t="inlineStr">
        <is>
          <t>Next-month forecast via OLS regression with R² and confidence</t>
        </is>
      </c>
      <c r="D12" s="5" t="inlineStr">
        <is>
          <t>⬜</t>
        </is>
      </c>
      <c r="E12" s="5" t="inlineStr">
        <is>
          <t>None</t>
        </is>
      </c>
      <c r="F12" s="5" t="inlineStr">
        <is>
          <t>Forecasting service (OLS) on revenue/attendance and R² display</t>
        </is>
      </c>
    </row>
    <row r="13">
      <c r="A13" s="5" t="inlineStr">
        <is>
          <t>§3.1 Home</t>
        </is>
      </c>
      <c r="B13" s="5" t="inlineStr">
        <is>
          <t>FR-DSH-08</t>
        </is>
      </c>
      <c r="C13" s="5" t="inlineStr">
        <is>
          <t>"Needs follow-up" list and loyalty table + Alt+S/A/R/L shortcuts</t>
        </is>
      </c>
      <c r="D13" s="5" t="inlineStr">
        <is>
          <t>⬜</t>
        </is>
      </c>
      <c r="E13" s="5" t="inlineStr">
        <is>
          <t>None (see UX-KBD)</t>
        </is>
      </c>
      <c r="F13" s="5" t="inlineStr">
        <is>
          <t>Loyalty indicator, follow-up list, and shortcuts</t>
        </is>
      </c>
    </row>
    <row r="14">
      <c r="A14" s="5" t="inlineStr">
        <is>
          <t>§3.1 Home</t>
        </is>
      </c>
      <c r="B14" s="5" t="inlineStr">
        <is>
          <t>FR-DSH-09</t>
        </is>
      </c>
      <c r="C14" s="5" t="inlineStr">
        <is>
          <t>Last sync and 24-hour snapshot count + manual refresh button</t>
        </is>
      </c>
      <c r="D14" s="5" t="inlineStr">
        <is>
          <t>⬜</t>
        </is>
      </c>
      <c r="E14" s="5" t="inlineStr">
        <is>
          <t>None (no network sync)</t>
        </is>
      </c>
      <c r="F14" s="5" t="inlineStr">
        <is>
          <t>Follows building the MikroTik integration and the snapshots table</t>
        </is>
      </c>
    </row>
    <row r="15">
      <c r="A15" s="5" t="inlineStr">
        <is>
          <t>§3.1 Home</t>
        </is>
      </c>
      <c r="B15" s="5" t="inlineStr">
        <is>
          <t>FR-NET-01</t>
        </is>
      </c>
      <c r="C15" s="5" t="inlineStr">
        <is>
          <t>Connected devices table (user, type, MAC, IP, uptime, download/upload)</t>
        </is>
      </c>
      <c r="D15" s="5" t="inlineStr">
        <is>
          <t>⬜</t>
        </is>
      </c>
      <c r="E15" s="5" t="inlineStr">
        <is>
          <t>None; closest is backend/app/Services/InternetAccessService.php (credentials only)</t>
        </is>
      </c>
      <c r="F15" s="5" t="inlineStr">
        <is>
          <t>Device model linked to the subscriber, MikroTik sync, /live-monitor page</t>
        </is>
      </c>
    </row>
    <row r="16">
      <c r="A16" s="5" t="inlineStr">
        <is>
          <t>§3.1 Home</t>
        </is>
      </c>
      <c r="B16" s="5" t="inlineStr">
        <is>
          <t>FR-NET-02</t>
        </is>
      </c>
      <c r="C16" s="5" t="inlineStr">
        <is>
          <t>Auto-refresh every 30 seconds</t>
        </is>
      </c>
      <c r="D16" s="5" t="inlineStr">
        <is>
          <t>⬜</t>
        </is>
      </c>
      <c r="E16" s="5" t="inlineStr">
        <is>
          <t>None</t>
        </is>
      </c>
      <c r="F16" s="5" t="inlineStr">
        <is>
          <t>Polling or WebSocket on the monitor page</t>
        </is>
      </c>
    </row>
    <row r="17">
      <c r="A17" s="5" t="inlineStr">
        <is>
          <t>§3.1 Home</t>
        </is>
      </c>
      <c r="B17" s="5" t="inlineStr">
        <is>
          <t>FR-NET-03</t>
        </is>
      </c>
      <c r="C17" s="5" t="inlineStr">
        <is>
          <t>Tabs: connected now, gaps, usage, trends</t>
        </is>
      </c>
      <c r="D17" s="5" t="inlineStr">
        <is>
          <t>⬜</t>
        </is>
      </c>
      <c r="E17" s="5" t="inlineStr">
        <is>
          <t>None</t>
        </is>
      </c>
      <c r="F17" s="5" t="inlineStr">
        <is>
          <t>Session storage and analysis of disconnections and trends</t>
        </is>
      </c>
    </row>
    <row r="18">
      <c r="A18" s="5" t="inlineStr">
        <is>
          <t>§3.1 Home</t>
        </is>
      </c>
      <c r="B18" s="5" t="inlineStr">
        <is>
          <t>FR-ALR-01</t>
        </is>
      </c>
      <c r="C18" s="5" t="inlineStr">
        <is>
          <t>Automatic alert generation: high consumption, new device, churn risk, inactive</t>
        </is>
      </c>
      <c r="D18" s="5" t="inlineStr">
        <is>
          <t>⬜</t>
        </is>
      </c>
      <c r="E18" s="5" t="inlineStr">
        <is>
          <t>None (a general notifications system exists at owner/notifications/page.tsx, but it is not an alerts engine)</t>
        </is>
      </c>
      <c r="F18" s="5" t="inlineStr">
        <is>
          <t>Alert model + scheduled jobs with thresholds; depends on network/attendance data</t>
        </is>
      </c>
    </row>
    <row r="19">
      <c r="A19" s="5" t="inlineStr">
        <is>
          <t>§3.1 Home</t>
        </is>
      </c>
      <c r="B19" s="5" t="inlineStr">
        <is>
          <t>FR-ALR-02</t>
        </is>
      </c>
      <c r="C19" s="5" t="inlineStr">
        <is>
          <t>Severity classification, counters, and pagination of 30</t>
        </is>
      </c>
      <c r="D19" s="5" t="inlineStr">
        <is>
          <t>⬜</t>
        </is>
      </c>
      <c r="E19" s="5" t="inlineStr">
        <is>
          <t>None</t>
        </is>
      </c>
      <c r="F19" s="5" t="inlineStr">
        <is>
          <t>/alerts page and counters (total/unread/today/critical)</t>
        </is>
      </c>
    </row>
    <row r="20">
      <c r="A20" s="5" t="inlineStr">
        <is>
          <t>§3.2 Commercial</t>
        </is>
      </c>
      <c r="B20" s="5" t="inlineStr">
        <is>
          <t>FR-SUB-01</t>
        </is>
      </c>
      <c r="C20" s="5" t="inlineStr">
        <is>
          <t>Monthly table: days, attendance rate, hours, GB, plan, unbilled, balance</t>
        </is>
      </c>
      <c r="D20" s="5" t="inlineStr">
        <is>
          <t>🟨</t>
        </is>
      </c>
      <c r="E20" s="5" t="inlineStr">
        <is>
          <t>backend/app/Services/OwnerSubscriptionService.php, frontend/src/components/features/owner/SubscriptionsTable.tsx, frontend/src/app/[locale]/(dashboard)/owner/subscriptions/page.tsx</t>
        </is>
      </c>
      <c r="F20" s="5" t="inlineStr">
        <is>
          <t>Existing: subscriptions list with status/price. Missing: days, attendance, hours, and GB (attendance/network), "unbilled" and balance (wallet/subscriber account ledger)</t>
        </is>
      </c>
    </row>
    <row r="21">
      <c r="A21" s="5" t="inlineStr">
        <is>
          <t>§3.2 Commercial</t>
        </is>
      </c>
      <c r="B21" s="5" t="inlineStr">
        <is>
          <t>FR-SUB-02</t>
        </is>
      </c>
      <c r="C21" s="5" t="inlineStr">
        <is>
          <t>Search (name/phone/username) and sort by 6 criteria</t>
        </is>
      </c>
      <c r="D21" s="5" t="inlineStr">
        <is>
          <t>🟨</t>
        </is>
      </c>
      <c r="E21" s="5" t="inlineStr">
        <is>
          <t>backend/app/Services/OwnerSubscriptionService.php (applySearch/applySort), backend/app/Services/MemberService.php</t>
        </is>
      </c>
      <c r="F21" s="5" t="inlineStr">
        <is>
          <t>Review the search fields (internet username) and the six sort criteria</t>
        </is>
      </c>
    </row>
    <row r="22">
      <c r="A22" s="5" t="inlineStr">
        <is>
          <t>§3.2 Commercial</t>
        </is>
      </c>
      <c r="B22" s="5" t="inlineStr">
        <is>
          <t>FR-SUB-03</t>
        </is>
      </c>
      <c r="C22" s="5" t="inlineStr">
        <is>
          <t>Cards: present, owing amounts, total due, wallet balances, active subscriptions</t>
        </is>
      </c>
      <c r="D22" s="5" t="inlineStr">
        <is>
          <t>🟨</t>
        </is>
      </c>
      <c r="E22" s="5" t="inlineStr">
        <is>
          <t>backend/app/Services/InvoiceService.php (workspaceSummary), backend/app/Services/OwnerDashboardService.php</t>
        </is>
      </c>
      <c r="F22" s="5" t="inlineStr">
        <is>
          <t>Existing: invoice summary and active count. Missing: present members and wallet balances (the wallet does not exist)</t>
        </is>
      </c>
    </row>
    <row r="23">
      <c r="A23" s="5" t="inlineStr">
        <is>
          <t>§3.2 Commercial</t>
        </is>
      </c>
      <c r="B23" s="5" t="inlineStr">
        <is>
          <t>FR-RMB-01</t>
        </is>
      </c>
      <c r="C23" s="5" t="inlineStr">
        <is>
          <t>Receive meeting-room bookings from the public site and review them (pending/approved/rejected/cancelled/upcoming)</t>
        </is>
      </c>
      <c r="D23" s="5" t="inlineStr">
        <is>
          <t>🟨</t>
        </is>
      </c>
      <c r="E23" s="5" t="inlineStr">
        <is>
          <t>backend/app/Services/BookingService.php, frontend/src/app/[locale]/(dashboard)/owner/bookings/page.tsx, backend/app/Models/Resource.php (ResourceType::MeetingRoom as inventory only)</t>
        </is>
      </c>
      <c r="F23" s="5" t="inlineStr">
        <is>
          <t>Existing: membership requests (pending/approved/rejected) from a registered user. Missing: room booking by date/time from a public visitor without an account, cancelled/upcoming statuses, conflict prevention, linking to Resource</t>
        </is>
      </c>
    </row>
    <row r="24">
      <c r="A24" s="5" t="inlineStr">
        <is>
          <t>§3.2 Commercial</t>
        </is>
      </c>
      <c r="B24" s="5" t="inlineStr">
        <is>
          <t>FR-RMB-02</t>
        </is>
      </c>
      <c r="C24" s="5" t="inlineStr">
        <is>
          <t>Search by guest name/email and filter by date</t>
        </is>
      </c>
      <c r="D24" s="5" t="inlineStr">
        <is>
          <t>⬜</t>
        </is>
      </c>
      <c r="E24" s="5" t="inlineStr">
        <is>
          <t>None (membership requests have no guest/booking-date fields)</t>
        </is>
      </c>
      <c r="F24" s="5" t="inlineStr">
        <is>
          <t>guest_name/email/date fields and search filters</t>
        </is>
      </c>
    </row>
    <row r="25">
      <c r="A25" s="5" t="inlineStr">
        <is>
          <t>§3.3 Finance</t>
        </is>
      </c>
      <c r="B25" s="5" t="inlineStr">
        <is>
          <t>FR-FIN-01</t>
        </is>
      </c>
      <c r="C25" s="5" t="inlineStr">
        <is>
          <t>"Needs your attention" section (e.g. active subscribers without a financial subscription)</t>
        </is>
      </c>
      <c r="D25" s="5" t="inlineStr">
        <is>
          <t>⬜</t>
        </is>
      </c>
      <c r="E25" s="5" t="inlineStr">
        <is>
          <t>frontend/src/components/features/invoices/OwnerInvoiceAlert.tsx (invoice alert only)</t>
        </is>
      </c>
      <c r="F25" s="5" t="inlineStr">
        <is>
          <t>/finance dashboard, attention rules, and their links</t>
        </is>
      </c>
    </row>
    <row r="26">
      <c r="A26" s="5" t="inlineStr">
        <is>
          <t>§3.3 Finance</t>
        </is>
      </c>
      <c r="B26" s="5" t="inlineStr">
        <is>
          <t>FR-FIN-02</t>
        </is>
      </c>
      <c r="C26" s="5" t="inlineStr">
        <is>
          <t>Four figures: received, spent, operating result, billed unpaid; each card opens its records</t>
        </is>
      </c>
      <c r="D26" s="5" t="inlineStr">
        <is>
          <t>🟨</t>
        </is>
      </c>
      <c r="E26" s="5" t="inlineStr">
        <is>
          <t>backend/app/Services/OwnerReportsService.php (profit_loss), backend/app/Services/ExpenseService.php (summaryForWorkspace), backend/app/Services/InvoiceService.php (workspaceSummary)</t>
        </is>
      </c>
      <c r="F26" s="5" t="inlineStr">
        <is>
          <t>Not aggregated into a single finance dashboard with drill-down; merge POS receipts with invoices</t>
        </is>
      </c>
    </row>
    <row r="27">
      <c r="A27" s="5" t="inlineStr">
        <is>
          <t>§3.3 Finance</t>
        </is>
      </c>
      <c r="B27" s="5" t="inlineStr">
        <is>
          <t>FR-FIN-03</t>
        </is>
      </c>
      <c r="C27" s="5" t="inlineStr">
        <is>
          <t>Receivables aging and top balances + option to show billing and tax details</t>
        </is>
      </c>
      <c r="D27" s="5" t="inlineStr">
        <is>
          <t>🟨</t>
        </is>
      </c>
      <c r="E27" s="5" t="inlineStr">
        <is>
          <t>backend/app/Services/OwnerReportsService.php (aging), frontend/src/components/features/owner/OwnerReportsSections.tsx</t>
        </is>
      </c>
      <c r="F27" s="5" t="inlineStr">
        <is>
          <t>Top balances by subscriber; tax display toggle (no tax exists)</t>
        </is>
      </c>
    </row>
    <row r="28">
      <c r="A28" s="5" t="inlineStr">
        <is>
          <t>§3.3 Finance</t>
        </is>
      </c>
      <c r="B28" s="5" t="inlineStr">
        <is>
          <t>FIN-POS</t>
        </is>
      </c>
      <c r="C28" s="5" t="inlineStr">
        <is>
          <t>POS: F2 subscriber selection, catalog or manual line, discount with reason, "Add to account" or "Collect" (cash/card/transfer/check), numeric keypad, seat usage</t>
        </is>
      </c>
      <c r="D28" s="5" t="inlineStr">
        <is>
          <t>🟨</t>
        </is>
      </c>
      <c r="E28" s="5" t="inlineStr">
        <is>
          <t>backend/app/Services/Pos/PosOrderService.php, frontend/src/components/features/cashier/PosTerminal.tsx, frontend/src/app/[locale]/(dashboard)/owner/pos/terminal/page.tsx</t>
        </is>
      </c>
      <c r="F28" s="5" t="inlineStr">
        <is>
          <t>Existing: POS orders with catalog, stock, discount, two payment methods cash/transfer, statuses, and refunds. Missing: card/check, manual line, discount reason, "Add to account" (subscriber ledger), F2, numeric keypad, selling seat usage</t>
        </is>
      </c>
    </row>
    <row r="29">
      <c r="A29" s="5" t="inlineStr">
        <is>
          <t>§3.3 Finance</t>
        </is>
      </c>
      <c r="B29" s="5" t="inlineStr">
        <is>
          <t>FIN-INV</t>
        </is>
      </c>
      <c r="C29" s="5" t="inlineStr">
        <is>
          <t>Manual invoice, bulk monthly preparation with preview, draft→issue, statuses and payment, overdue filter</t>
        </is>
      </c>
      <c r="D29" s="5" t="inlineStr">
        <is>
          <t>🟨</t>
        </is>
      </c>
      <c r="E29" s="5" t="inlineStr">
        <is>
          <t>backend/app/Services/InvoiceService.php, backend/app/Services/InvoicePdfService.php, frontend/src/components/features/invoices/IssueInvoiceModal.tsx</t>
        </is>
      </c>
      <c r="F29" s="5" t="inlineStr">
        <is>
          <t>Existing: manual invoice (single amount), automatic monthly generation (scheduled command), partial payments, PDF, overdue, reminder. Missing: multiple line items, draft/issue, bulk-preparation preview, tax, immutability</t>
        </is>
      </c>
    </row>
    <row r="30">
      <c r="A30" s="5" t="inlineStr">
        <is>
          <t>§3.3 Finance</t>
        </is>
      </c>
      <c r="B30" s="5" t="inlineStr">
        <is>
          <t>FIN-COL</t>
        </is>
      </c>
      <c r="C30" s="5" t="inlineStr">
        <is>
          <t>Collections: debt aging 0–90+, log a follow-up with a note, "Can't reach" filter</t>
        </is>
      </c>
      <c r="D30" s="5" t="inlineStr">
        <is>
          <t>🟨</t>
        </is>
      </c>
      <c r="E30" s="5" t="inlineStr">
        <is>
          <t>backend/app/Services/OwnerReportsService.php (aging), backend/app/Services/InvoiceService.php (sendReminder/remindOverdue), frontend/src/components/features/owner/OwnerReportsSections.tsx</t>
        </is>
      </c>
      <c r="F30" s="5" t="inlineStr">
        <is>
          <t>/finance/collections screen, follow-up model (note, contact outcome), and non-response filter</t>
        </is>
      </c>
    </row>
    <row r="31">
      <c r="A31" s="5" t="inlineStr">
        <is>
          <t>§3.3 Finance</t>
        </is>
      </c>
      <c r="B31" s="5" t="inlineStr">
        <is>
          <t>FIN-RCP</t>
        </is>
      </c>
      <c r="C31" s="5" t="inlineStr">
        <is>
          <t>Receipts: payment allocated across invoices, check statuses, sort by collection/receipt date</t>
        </is>
      </c>
      <c r="D31" s="5" t="inlineStr">
        <is>
          <t>🟨</t>
        </is>
      </c>
      <c r="E31" s="5" t="inlineStr">
        <is>
          <t>backend/app/Models/InvoicePayment.php, backend/app/Services/InvoiceService.php (recordPayment, approveReceipt), frontend/src/components/features/invoices/RecordPaymentButton.tsx</t>
        </is>
      </c>
      <c r="F31" s="5" t="inlineStr">
        <is>
          <t>Existing: payments against a single invoice with an uploaded receipt and review. Missing: standalone numbered receipt, allocating one payment across multiple invoices, check statuses, collection date vs. receipt date</t>
        </is>
      </c>
    </row>
    <row r="32">
      <c r="A32" s="5" t="inlineStr">
        <is>
          <t>§3.3 Finance</t>
        </is>
      </c>
      <c r="B32" s="5" t="inlineStr">
        <is>
          <t>FIN-EXP</t>
        </is>
      </c>
      <c r="C32" s="5" t="inlineStr">
        <is>
          <t>Expenses: category, payment method, reference, cancellation</t>
        </is>
      </c>
      <c r="D32" s="5" t="inlineStr">
        <is>
          <t>🟨</t>
        </is>
      </c>
      <c r="E32" s="5" t="inlineStr">
        <is>
          <t>backend/app/Services/ExpenseService.php, backend/app/Models/Expense.php, frontend/src/components/features/owner/ExpensesTable.tsx</t>
        </is>
      </c>
      <c r="F32" s="5" t="inlineStr">
        <is>
          <t>Existing: CRUD + grouping by category and month + export + chart. Missing: payment method, reference, cancellation (instead of deletion), and dynamic categories</t>
        </is>
      </c>
    </row>
    <row r="33">
      <c r="A33" s="5" t="inlineStr">
        <is>
          <t>§3.3 Finance</t>
        </is>
      </c>
      <c r="B33" s="5" t="inlineStr">
        <is>
          <t>FIN-CN</t>
        </is>
      </c>
      <c r="C33" s="5" t="inlineStr">
        <is>
          <t>Credit notes linked to an issued invoice, with a reason</t>
        </is>
      </c>
      <c r="D33" s="5" t="inlineStr">
        <is>
          <t>⬜</t>
        </is>
      </c>
      <c r="E33" s="5" t="inlineStr">
        <is>
          <t>None (InvoiceStatus::Cancelled exists but deletion is a hard delete)</t>
        </is>
      </c>
      <c r="F33" s="5" t="inlineStr">
        <is>
          <t>credit_notes table, numbering, link to the invoice, reason, effect on receivables</t>
        </is>
      </c>
    </row>
    <row r="34">
      <c r="A34" s="5" t="inlineStr">
        <is>
          <t>§3.3 Finance</t>
        </is>
      </c>
      <c r="B34" s="5" t="inlineStr">
        <is>
          <t>FIN-PV</t>
        </is>
      </c>
      <c r="C34" s="5" t="inlineStr">
        <is>
          <t>Refunds: payment voucher from the subscriber's account when refunding a wallet balance</t>
        </is>
      </c>
      <c r="D34" s="5" t="inlineStr">
        <is>
          <t>⬜</t>
        </is>
      </c>
      <c r="E34" s="5" t="inlineStr">
        <is>
          <t>None (POS refunds only: backend/app/Services/Pos/PosOrderService.php)</t>
        </is>
      </c>
      <c r="F34" s="5" t="inlineStr">
        <is>
          <t>Payment voucher, wallet/balance, numbering and auditing</t>
        </is>
      </c>
    </row>
    <row r="35">
      <c r="A35" s="5" t="inlineStr">
        <is>
          <t>§3.3 Finance</t>
        </is>
      </c>
      <c r="B35" s="5" t="inlineStr">
        <is>
          <t>FIN-CASH</t>
        </is>
      </c>
      <c r="C35" s="5" t="inlineStr">
        <is>
          <t>Cash-up: today's movements by method and a cash-count calculator</t>
        </is>
      </c>
      <c r="D35" s="5" t="inlineStr">
        <is>
          <t>🟨</t>
        </is>
      </c>
      <c r="E35" s="5" t="inlineStr">
        <is>
          <t>backend/app/Services/Pos/PosReportService.php (byMethod), frontend/src/components/features/pos/PosReports.tsx</t>
        </is>
      </c>
      <c r="F35" s="5" t="inlineStr">
        <is>
          <t>Today's movements by method cover POS only. Missing: merging invoice payments and expenses (in/out/net), the cash-count calculator, and the /finance/cash-up screen</t>
        </is>
      </c>
    </row>
    <row r="36">
      <c r="A36" s="5" t="inlineStr">
        <is>
          <t>§3.3 Finance</t>
        </is>
      </c>
      <c r="B36" s="5" t="inlineStr">
        <is>
          <t>FIN-IMP</t>
        </is>
      </c>
      <c r="C36" s="5" t="inlineStr">
        <is>
          <t>XLSX import for catalog/withdrawals with preview and atomic commit</t>
        </is>
      </c>
      <c r="D36" s="5" t="inlineStr">
        <is>
          <t>⬜</t>
        </is>
      </c>
      <c r="E36" s="5" t="inlineStr">
        <is>
          <t>None (export only: backend/app/Services/Owner/OwnerExportService.php)</t>
        </is>
      </c>
      <c r="F36" s="5" t="inlineStr">
        <is>
          <t>Upload and validation (≤2000 rows/5MB/no formulas), preview, transaction, duplicate prevention</t>
        </is>
      </c>
    </row>
    <row r="37">
      <c r="A37" s="5" t="inlineStr">
        <is>
          <t>§3.3 Finance</t>
        </is>
      </c>
      <c r="B37" s="5" t="inlineStr">
        <is>
          <t>FIN-VAT</t>
        </is>
      </c>
      <c r="C37" s="5" t="inlineStr">
        <is>
          <t>VAT report on an accrual basis</t>
        </is>
      </c>
      <c r="D37" s="5" t="inlineStr">
        <is>
          <t>⬜</t>
        </is>
      </c>
      <c r="E37" s="5" t="inlineStr">
        <is>
          <t>None</t>
        </is>
      </c>
      <c r="F37" s="5" t="inlineStr">
        <is>
          <t>Tax rate in settings, frozen at issuance, tax fields on the invoice, report and download</t>
        </is>
      </c>
    </row>
    <row r="38">
      <c r="A38" s="5" t="inlineStr">
        <is>
          <t>§3.3 Finance</t>
        </is>
      </c>
      <c r="B38" s="5" t="inlineStr">
        <is>
          <t>FIN-PLN</t>
        </is>
      </c>
      <c r="C38" s="5" t="inlineStr">
        <is>
          <t>Plans: 6 pricing methods, overage price, dedicated seat, special offer, archiving</t>
        </is>
      </c>
      <c r="D38" s="5" t="inlineStr">
        <is>
          <t>🟨</t>
        </is>
      </c>
      <c r="E38" s="5" t="inlineStr">
        <is>
          <t>backend/app/Services/PackageService.php, backend/app/Models/InternetPackage.php, backend/app/Services/SeatTypePricingService.php</t>
        </is>
      </c>
      <c r="F38" s="5" t="inlineStr">
        <is>
          <t>Existing: internet packages (speed, price, GB cap, active) and seat-type prices. Missing: a unified financial plan with the six pricing methods, overage price, special offer, and archiving</t>
        </is>
      </c>
    </row>
    <row r="39">
      <c r="A39" s="5" t="inlineStr">
        <is>
          <t>§3.3 Finance</t>
        </is>
      </c>
      <c r="B39" s="5" t="inlineStr">
        <is>
          <t>FIN-ITM</t>
        </is>
      </c>
      <c r="C39" s="5" t="inlineStr">
        <is>
          <t>Items: fixed code, Arabic/English name, category, unit, price</t>
        </is>
      </c>
      <c r="D39" s="5" t="inlineStr">
        <is>
          <t>🟨</t>
        </is>
      </c>
      <c r="E39" s="5" t="inlineStr">
        <is>
          <t>backend/app/Services/Pos/PosProductService.php, backend/app/Models/PosProduct.php, frontend/src/components/features/owner/PosManager.tsx</t>
        </is>
      </c>
      <c r="F39" s="5" t="inlineStr">
        <is>
          <t>Existing: product (name, sku, free-text category, price, stock). Missing: separate Arabic/English names, unit, link to a category, use in invoices</t>
        </is>
      </c>
    </row>
    <row r="40">
      <c r="A40" s="5" t="inlineStr">
        <is>
          <t>§3.3 Finance</t>
        </is>
      </c>
      <c r="B40" s="5" t="inlineStr">
        <is>
          <t>FIN-CAT</t>
        </is>
      </c>
      <c r="C40" s="5" t="inlineStr">
        <is>
          <t>Sales and expense categories with a fixed code, ordering, and archiving</t>
        </is>
      </c>
      <c r="D40" s="5" t="inlineStr">
        <is>
          <t>🟨</t>
        </is>
      </c>
      <c r="E40" s="5" t="inlineStr">
        <is>
          <t>backend/app/Enums/ExpenseCategory.php (7 fixed values), backend/app/Models/PosProduct.php (free-text category)</t>
        </is>
      </c>
      <c r="F40" s="5" t="inlineStr">
        <is>
          <t>Dynamic categories table (sales/expenses) with code, ordering, and archiving</t>
        </is>
      </c>
    </row>
    <row r="41">
      <c r="A41" s="5" t="inlineStr">
        <is>
          <t>§3.3 Finance</t>
        </is>
      </c>
      <c r="B41" s="5" t="inlineStr">
        <is>
          <t>FIN-AH</t>
        </is>
      </c>
      <c r="C41" s="5" t="inlineStr">
        <is>
          <t>Extra hours: charging rules for time after working hours, and preview (currently disabled)</t>
        </is>
      </c>
      <c r="D41" s="5" t="inlineStr">
        <is>
          <t>⬜</t>
        </is>
      </c>
      <c r="E41" s="5" t="inlineStr">
        <is>
          <t>None (working_hours in backend/app/Models/Workspace.php is display-only)</t>
        </is>
      </c>
      <c r="F41" s="5" t="inlineStr">
        <is>
          <t>Charging rules and monthly preview; requires attendance data; disabled in the reference, so it can be deferred</t>
        </is>
      </c>
    </row>
    <row r="42">
      <c r="A42" s="5" t="inlineStr">
        <is>
          <t>§3.3 Finance</t>
        </is>
      </c>
      <c r="B42" s="5" t="inlineStr">
        <is>
          <t>FIN-SEAT</t>
        </is>
      </c>
      <c r="C42" s="5" t="inlineStr">
        <is>
          <t>Seats: today's occupancy, dedicated-seat revenue, statuses (available/dedicated/reserved for later/out of service), releasing expired ones</t>
        </is>
      </c>
      <c r="D42" s="5" t="inlineStr">
        <is>
          <t>🟨</t>
        </is>
      </c>
      <c r="E42" s="5" t="inlineStr">
        <is>
          <t>backend/app/Services/SeatService.php, backend/app/Enums/SeatStatus.php, frontend/src/components/features/owner/SeatBoard.tsx</t>
        </is>
      </c>
      <c r="F42" s="5" t="inlineStr">
        <is>
          <t>Existing: seat map, assign/unassign, statuses available/occupied/reserved/maintenance. Missing: dedicated-seat revenue, date-based "reserved for later", automatic release of expired seats</t>
        </is>
      </c>
    </row>
    <row r="43">
      <c r="A43" s="5" t="inlineStr">
        <is>
          <t>§3.3 Finance</t>
        </is>
      </c>
      <c r="B43" s="5" t="inlineStr">
        <is>
          <t>FIN-ORG</t>
        </is>
      </c>
      <c r="C43" s="5" t="inlineStr">
        <is>
          <t>Organizations: a company pays for its members with a consolidated invoice and a tax number</t>
        </is>
      </c>
      <c r="D43" s="5" t="inlineStr">
        <is>
          <t>⬜</t>
        </is>
      </c>
      <c r="E43" s="5" t="inlineStr">
        <is>
          <t>None</t>
        </is>
      </c>
      <c r="F43" s="5" t="inlineStr">
        <is>
          <t>organizations table, member linking, coverage rules, consolidated invoice, and tax value</t>
        </is>
      </c>
    </row>
    <row r="44">
      <c r="A44" s="5" t="inlineStr">
        <is>
          <t>§3.3 Finance</t>
        </is>
      </c>
      <c r="B44" s="5" t="inlineStr">
        <is>
          <t>FIN-ACT</t>
        </is>
      </c>
      <c r="C44" s="5" t="inlineStr">
        <is>
          <t>Financial activity log (17 actions: who/when/why)</t>
        </is>
      </c>
      <c r="D44" s="5" t="inlineStr">
        <is>
          <t>⬜</t>
        </is>
      </c>
      <c r="E44" s="5" t="inlineStr">
        <is>
          <t>None</t>
        </is>
      </c>
      <c r="F44" s="5" t="inlineStr">
        <is>
          <t>Audit table for financial actions, an observer/service, and a viewing screen with filters</t>
        </is>
      </c>
    </row>
    <row r="45">
      <c r="A45" s="5" t="inlineStr">
        <is>
          <t>§3.3 Finance</t>
        </is>
      </c>
      <c r="B45" s="5" t="inlineStr">
        <is>
          <t>BR-FIN-01</t>
        </is>
      </c>
      <c r="C45" s="5" t="inlineStr">
        <is>
          <t>An issued invoice is never edited; corrections go through a credit note or cancellation</t>
        </is>
      </c>
      <c r="D45" s="5" t="inlineStr">
        <is>
          <t>🟨</t>
        </is>
      </c>
      <c r="E45" s="5" t="inlineStr">
        <is>
          <t>backend/app/Services/InvoiceService.php (delete is a hard delete), backend/app/Http/Controllers/InvoiceController.php</t>
        </is>
      </c>
      <c r="F45" s="5" t="inlineStr">
        <is>
          <t>Hard delete is currently allowed (violates the rule). Required: soft cancellation + edit lock after issuance + credit note</t>
        </is>
      </c>
    </row>
    <row r="46">
      <c r="A46" s="5" t="inlineStr">
        <is>
          <t>§3.3 Finance</t>
        </is>
      </c>
      <c r="B46" s="5" t="inlineStr">
        <is>
          <t>BR-FIN-02</t>
        </is>
      </c>
      <c r="C46" s="5" t="inlineStr">
        <is>
          <t>Only cash enters the cash drawer; other methods are for reconciliation only</t>
        </is>
      </c>
      <c r="D46" s="5" t="inlineStr">
        <is>
          <t>⬜</t>
        </is>
      </c>
      <c r="E46" s="5" t="inlineStr">
        <is>
          <t>backend/app/Enums/PaymentMethod.php (cash/transfer) with no cash-drawer concept</t>
        </is>
      </c>
      <c r="F46" s="5" t="inlineStr">
        <is>
          <t>Distinguish cash payments in cash-up and add card/check methods</t>
        </is>
      </c>
    </row>
    <row r="47">
      <c r="A47" s="5" t="inlineStr">
        <is>
          <t>§3.3 Finance</t>
        </is>
      </c>
      <c r="B47" s="5" t="inlineStr">
        <is>
          <t>BR-FIN-03</t>
        </is>
      </c>
      <c r="C47" s="5" t="inlineStr">
        <is>
          <t>No tax unless a rate is set in Settings → Operations</t>
        </is>
      </c>
      <c r="D47" s="5" t="inlineStr">
        <is>
          <t>⬜</t>
        </is>
      </c>
      <c r="E47" s="5" t="inlineStr">
        <is>
          <t>None (no tax in the system)</t>
        </is>
      </c>
      <c r="F47" s="5" t="inlineStr">
        <is>
          <t>Tax-rate field in the operations settings, applied only at issuance</t>
        </is>
      </c>
    </row>
    <row r="48">
      <c r="A48" s="5" t="inlineStr">
        <is>
          <t>§3.3 Finance</t>
        </is>
      </c>
      <c r="B48" s="5" t="inlineStr">
        <is>
          <t>BR-FIN-04</t>
        </is>
      </c>
      <c r="C48" s="5" t="inlineStr">
        <is>
          <t>A dedicated seat requires a monthly or weekly plan or a package</t>
        </is>
      </c>
      <c r="D48" s="5" t="inlineStr">
        <is>
          <t>🟨</t>
        </is>
      </c>
      <c r="E48" s="5" t="inlineStr">
        <is>
          <t>backend/app/Services/SeatService.php (assign only requires an active subscription)</t>
        </is>
      </c>
      <c r="F48" s="5" t="inlineStr">
        <is>
          <t>Validate the plan type (monthly/weekly/package) on assignment</t>
        </is>
      </c>
    </row>
    <row r="49">
      <c r="A49" s="5" t="inlineStr">
        <is>
          <t>§3.6 Locations</t>
        </is>
      </c>
      <c r="B49" s="5" t="inlineStr">
        <is>
          <t>FR-STN-01</t>
        </is>
      </c>
      <c r="C49" s="5" t="inlineStr">
        <is>
          <t>Stations: add single or bulk (start, count, prefix), type, zone, capacity, privacy, affiliation; meeting rooms for public booking</t>
        </is>
      </c>
      <c r="D49" s="5" t="inlineStr">
        <is>
          <t>🟨</t>
        </is>
      </c>
      <c r="E49" s="5" t="inlineStr">
        <is>
          <t>backend/app/Services/SeatService.php, backend/app/Services/ResourceService.php, frontend/src/components/features/owner/SeatBoard.tsx</t>
        </is>
      </c>
      <c r="F49" s="5" t="inlineStr">
        <is>
          <t>Existing: seats with fixed/flexible/private_office types and resources (meeting_room…) with quantity. Missing: bulk add with a start number and prefix, zone, per-station capacity/privacy, affiliation, listing rooms for public booking</t>
        </is>
      </c>
    </row>
    <row r="50">
      <c r="A50" s="5" t="inlineStr">
        <is>
          <t>§3.6 Locations</t>
        </is>
      </c>
      <c r="B50" s="5" t="inlineStr">
        <is>
          <t>FR-STN-02</t>
        </is>
      </c>
      <c r="C50" s="5" t="inlineStr">
        <is>
          <t>Tabs: inventory, now, month, branches (multi-branch)</t>
        </is>
      </c>
      <c r="D50" s="5" t="inlineStr">
        <is>
          <t>⬜</t>
        </is>
      </c>
      <c r="E50" s="5" t="inlineStr">
        <is>
          <t>None (one Workspace per owner, no branches/zones)</t>
        </is>
      </c>
      <c r="F50" s="5" t="inlineStr">
        <is>
          <t>branches/zones model, view tabs, and branch-scoped queries</t>
        </is>
      </c>
    </row>
    <row r="51">
      <c r="A51" s="5" t="inlineStr">
        <is>
          <t>§3.7 Settings</t>
        </is>
      </c>
      <c r="B51" s="5" t="inlineStr">
        <is>
          <t>SET-GEN</t>
        </is>
      </c>
      <c r="C51" s="5" t="inlineStr">
        <is>
          <t>General: name, description, fixed slug, contact, bank and frozen IBAN, timezone and currency, Wi-Fi details</t>
        </is>
      </c>
      <c r="D51" s="5" t="inlineStr">
        <is>
          <t>🟨</t>
        </is>
      </c>
      <c r="E51" s="5" t="inlineStr">
        <is>
          <t>backend/app/Services/WorkspaceService.php (updateSettings), backend/app/Http/Requests/Workspace/UpdateWorkspaceRequest.php, frontend/src/components/features/owner/SettingsTabs.tsx</t>
        </is>
      </c>
      <c r="F51" s="5" t="inlineStr">
        <is>
          <t>Existing: name, description, address, city, phone, location, logo/images, amenities. Missing: slug, bank/IBAN details, timezone and currency, Wi-Fi details, email/contact</t>
        </is>
      </c>
    </row>
    <row r="52">
      <c r="A52" s="5" t="inlineStr">
        <is>
          <t>§3.7 Settings</t>
        </is>
      </c>
      <c r="B52" s="5" t="inlineStr">
        <is>
          <t>SET-OPS</t>
        </is>
      </c>
      <c r="C52" s="5" t="inlineStr">
        <is>
          <t>Operations: capacity, seating mode, working hours and days, type prices, tax; saving is "sent for approval"</t>
        </is>
      </c>
      <c r="D52" s="5" t="inlineStr">
        <is>
          <t>🟨</t>
        </is>
      </c>
      <c r="E52" s="5" t="inlineStr">
        <is>
          <t>backend/app/Services/SeatTypePricingService.php, backend/app/Services/WorkspaceService.php (updateSeatTypes), frontend/src/components/features/owner/SettingsTabs.tsx (seatTypes and hours tabs)</t>
        </is>
      </c>
      <c r="F52" s="5" t="inlineStr">
        <is>
          <t>Existing: seat-type prices and capacity, and working hours (saved directly). Missing: fixed/flexible seating mode, tax, super admin approval workflow for changes, holidays</t>
        </is>
      </c>
    </row>
    <row r="53">
      <c r="A53" s="5" t="inlineStr">
        <is>
          <t>§3.7 Settings</t>
        </is>
      </c>
      <c r="B53" s="5" t="inlineStr">
        <is>
          <t>SET-DNS</t>
        </is>
      </c>
      <c r="C53" s="5" t="inlineStr">
        <is>
          <t>Domain and DNS: dashboard and public-site links, custom domain request</t>
        </is>
      </c>
      <c r="D53" s="5" t="inlineStr">
        <is>
          <t>⬜</t>
        </is>
      </c>
      <c r="E53" s="5" t="inlineStr">
        <is>
          <t>None</t>
        </is>
      </c>
      <c r="F53" s="5" t="inlineStr">
        <is>
          <t>Domain fields, custom domain request, and admin approval</t>
        </is>
      </c>
    </row>
    <row r="54">
      <c r="A54" s="5" t="inlineStr">
        <is>
          <t>§3.7 Settings</t>
        </is>
      </c>
      <c r="B54" s="5" t="inlineStr">
        <is>
          <t>SET-API</t>
        </is>
      </c>
      <c r="C54" s="5" t="inlineStr">
        <is>
          <t>API and integration: MikroTik status, workspace code, endpoint, regenerate API key, plan status, check and diagnostics</t>
        </is>
      </c>
      <c r="D54" s="5" t="inlineStr">
        <is>
          <t>⬜</t>
        </is>
      </c>
      <c r="E54" s="5" t="inlineStr">
        <is>
          <t>None for the owner; closest is backend/app/Models/PartnerClient.php (UR partner keys, not per workspace)</t>
        </is>
      </c>
      <c r="F54" s="5" t="inlineStr">
        <is>
          <t>Per-workspace API key and code with regeneration, sync status, diagnostics center</t>
        </is>
      </c>
    </row>
    <row r="55">
      <c r="A55" s="5" t="inlineStr">
        <is>
          <t>§3.7 Settings</t>
        </is>
      </c>
      <c r="B55" s="5" t="inlineStr">
        <is>
          <t>SET-DNG</t>
        </is>
      </c>
      <c r="C55" s="5" t="inlineStr">
        <is>
          <t>Danger zone: workspace reset (delete subscribers/devices/contracts/statistics…)</t>
        </is>
      </c>
      <c r="D55" s="5" t="inlineStr">
        <is>
          <t>⬜</t>
        </is>
      </c>
      <c r="E55" s="5" t="inlineStr">
        <is>
          <t>None</t>
        </is>
      </c>
      <c r="F55" s="5" t="inlineStr">
        <is>
          <t>Reset operation with confirmation and a transaction, keeping the identity and owner and generating a new API key</t>
        </is>
      </c>
    </row>
    <row r="56">
      <c r="A56" s="5" t="inlineStr">
        <is>
          <t>§3.4 — Members hub (FR-MEM)</t>
        </is>
      </c>
      <c r="B56" s="5" t="inlineStr">
        <is>
          <t>FR-MEM-01</t>
        </is>
      </c>
      <c r="C56" s="5" t="inlineStr">
        <is>
          <t>Members hub tabs (today, subscribers, weekly, monthly, calendar, contracts, visitors, alerts, profiles, bulk management)</t>
        </is>
      </c>
      <c r="D56" s="5" t="inlineStr">
        <is>
          <t>🟨</t>
        </is>
      </c>
      <c r="E56" s="5" t="inlineStr">
        <is>
          <t>frontend/src/app/[locale]/(dashboard)/owner/members/page.tsx, frontend/src/components/features/owner/MembersTable.tsx</t>
        </is>
      </c>
      <c r="F56" s="5" t="inlineStr">
        <is>
          <t>Only a single members list page; all remaining tabs are new</t>
        </is>
      </c>
    </row>
    <row r="57">
      <c r="A57" s="5" t="inlineStr">
        <is>
          <t>§3.4 — Members hub (FR-MEM)</t>
        </is>
      </c>
      <c r="B57" s="5" t="inlineStr">
        <is>
          <t>FR-MEM-02</t>
        </is>
      </c>
      <c r="C57" s="5" t="inlineStr">
        <is>
          <t>"Today" tab: capacity of 640 hours/day, contracted vs. actual, hourly load with 70%/90% thresholds</t>
        </is>
      </c>
      <c r="D57" s="5" t="inlineStr">
        <is>
          <t>⬜</t>
        </is>
      </c>
      <c r="E57" s="5" t="inlineStr">
        <is>
          <t>backend/app/Services/OwnerDashboardService.php (seat occupancy rate only)</t>
        </is>
      </c>
      <c r="F57" s="5" t="inlineStr">
        <is>
          <t>No hours, no actual attendance, no hour-based capacity; requires session data</t>
        </is>
      </c>
    </row>
    <row r="58">
      <c r="A58" s="5" t="inlineStr">
        <is>
          <t>§3.4 — Members hub (FR-MEM)</t>
        </is>
      </c>
      <c r="B58" s="5" t="inlineStr">
        <is>
          <t>FR-MEM-03</t>
        </is>
      </c>
      <c r="C58" s="5" t="inlineStr">
        <is>
          <t>Contracts with a state machine (draft/active/suspended/expired/cancelled), bulk extension and renewal, 14-day alert</t>
        </is>
      </c>
      <c r="D58" s="5" t="inlineStr">
        <is>
          <t>🟨</t>
        </is>
      </c>
      <c r="E58" s="5" t="inlineStr">
        <is>
          <t>backend/app/Enums/SubscriptionStatus.php, backend/app/Services/OwnerSubscriptionService.php, backend/app/Console/Commands/NotifyExpiringSubscriptions.php</t>
        </is>
      </c>
      <c r="F58" s="5" t="inlineStr">
        <is>
          <t>Current statuses: pending/active/suspended/expired/cancelled with no draft and no governed transitions; individual renewal only (no bulk); 3-day alert instead of 14; no grace days, no auto-renewal, and no Contract entity</t>
        </is>
      </c>
    </row>
    <row r="59">
      <c r="A59" s="5" t="inlineStr">
        <is>
          <t>§3.4 — Members hub (FR-MEM)</t>
        </is>
      </c>
      <c r="B59" s="5" t="inlineStr">
        <is>
          <t>FR-MEM-04</t>
        </is>
      </c>
      <c r="C59" s="5" t="inlineStr">
        <is>
          <t>Live visitors without a subscription + revenue gap and type suggestion</t>
        </is>
      </c>
      <c r="D59" s="5" t="inlineStr">
        <is>
          <t>⬜</t>
        </is>
      </c>
      <c r="E59" s="5" t="inlineStr">
        <is>
          <t>—</t>
        </is>
      </c>
      <c r="F59" s="5" t="inlineStr">
        <is>
          <t>Requires router device/attendance snapshots</t>
        </is>
      </c>
    </row>
    <row r="60">
      <c r="A60" s="5" t="inlineStr">
        <is>
          <t>§3.4 — Members hub (FR-MEM)</t>
        </is>
      </c>
      <c r="B60" s="5" t="inlineStr">
        <is>
          <t>FR-MEM-05</t>
        </is>
      </c>
      <c r="C60" s="5" t="inlineStr">
        <is>
          <t>Specialized alerts (expiring contracts, inactive 30+, loyalty drop, overtime, repeat visitors, full capacity)</t>
        </is>
      </c>
      <c r="D60" s="5" t="inlineStr">
        <is>
          <t>🟨</t>
        </is>
      </c>
      <c r="E60" s="5" t="inlineStr">
        <is>
          <t>backend/app/Notifications/SubscriptionExpiringNotification.php, backend/app/Console/Commands/NotifyExpiringSubscriptions.php, backend/app/Notifications/InvoiceOverdueNotification.php</t>
        </is>
      </c>
      <c r="F60" s="5" t="inlineStr">
        <is>
          <t>Only subscription-expiry and overdue-invoice notifications; no rules engine (Alert Rule), no thresholds, no cooldown, and none of the other types</t>
        </is>
      </c>
    </row>
    <row r="61">
      <c r="A61" s="5" t="inlineStr">
        <is>
          <t>§3.4 — Members hub (FR-MEM)</t>
        </is>
      </c>
      <c r="B61" s="5" t="inlineStr">
        <is>
          <t>FR-MEM-06</t>
        </is>
      </c>
      <c r="C61" s="5" t="inlineStr">
        <is>
          <t>Profile wizard: gender, education (10), specialization (35), employment status, MikroTik username</t>
        </is>
      </c>
      <c r="D61" s="5" t="inlineStr">
        <is>
          <t>🟨</t>
        </is>
      </c>
      <c r="E61" s="5" t="inlineStr">
        <is>
          <t>backend/app/Models/User.php (gender, specialty, bio), backend/app/Enums/Gender.php, backend/app/Http/Controllers/ProfileController.php</t>
        </is>
      </c>
      <c r="F61" s="5" t="inlineStr">
        <is>
          <t>Gender and specialization (free text) only; no education level, no employment status, no constrained lists, and no MikroTik username (closest is internet_username on Subscription)</t>
        </is>
      </c>
    </row>
    <row r="62">
      <c r="A62" s="5" t="inlineStr">
        <is>
          <t>§3.4 — Members hub (FR-MEM)</t>
        </is>
      </c>
      <c r="B62" s="5" t="inlineStr">
        <is>
          <t>FR-MEM-07</t>
        </is>
      </c>
      <c r="C62" s="5" t="inlineStr">
        <is>
          <t>Bulk management + smart automatic detection of subscription type + CSV export</t>
        </is>
      </c>
      <c r="D62" s="5" t="inlineStr">
        <is>
          <t>🟨</t>
        </is>
      </c>
      <c r="E62" s="5" t="inlineStr">
        <is>
          <t>backend/app/Services/Owner/OwnerExportService.php, backend/routes/api/owner-members.php</t>
        </is>
      </c>
      <c r="F62" s="5" t="inlineStr">
        <is>
          <t>Members CSV export exists; no bulk operations and no smart detection</t>
        </is>
      </c>
    </row>
    <row r="63">
      <c r="A63" s="5" t="inlineStr">
        <is>
          <t>§3.4 — Members hub (FR-MEM)</t>
        </is>
      </c>
      <c r="B63" s="5" t="inlineStr">
        <is>
          <t>FR-MEM-08</t>
        </is>
      </c>
      <c r="C63" s="5" t="inlineStr">
        <is>
          <t>Subscriber profile: overview, subscription, scores, activity, peer comparison, loyalty/strength, activity calendar, devices</t>
        </is>
      </c>
      <c r="D63" s="5" t="inlineStr">
        <is>
          <t>🟨</t>
        </is>
      </c>
      <c r="E63" s="5" t="inlineStr">
        <is>
          <t>backend/app/Services/MemberService.php (memberDetail), frontend/src/components/features/owner/MemberDrawer.tsx, frontend/src/components/features/owner/MemberAnalytics.tsx</t>
        </is>
      </c>
      <c r="F63" s="5" t="inlineStr">
        <is>
          <t>User/subscription/seat/invoice details exist; no loyalty/strength scores, no peers, no activity calendar, and no devices</t>
        </is>
      </c>
    </row>
    <row r="64">
      <c r="A64" s="5" t="inlineStr">
        <is>
          <t>§3.4 — Members hub (FR-MEM)</t>
        </is>
      </c>
      <c r="B64" s="5" t="inlineStr">
        <is>
          <t>FR-MEM-09</t>
        </is>
      </c>
      <c r="C64" s="5" t="inlineStr">
        <is>
          <t>Monthly roster: fill/copy last month and compute booked hours against capacity</t>
        </is>
      </c>
      <c r="D64" s="5" t="inlineStr">
        <is>
          <t>⬜</t>
        </is>
      </c>
      <c r="E64" s="5" t="inlineStr">
        <is>
          <t>—</t>
        </is>
      </c>
      <c r="F64" s="5" t="inlineStr">
        <is>
          <t>The Roster Entry entity and the copy and compute functions are all new</t>
        </is>
      </c>
    </row>
    <row r="65">
      <c r="A65" s="5" t="inlineStr">
        <is>
          <t>§3.4 — Subscription requests (FR-REQ)</t>
        </is>
      </c>
      <c r="B65" s="5" t="inlineStr">
        <is>
          <t>FR-REQ-01</t>
        </is>
      </c>
      <c r="C65" s="5" t="inlineStr">
        <is>
          <t>Review membership requests from the public site with statuses pending/approved/rejected/available/cancelled</t>
        </is>
      </c>
      <c r="D65" s="5" t="inlineStr">
        <is>
          <t>🟨</t>
        </is>
      </c>
      <c r="E65" s="5" t="inlineStr">
        <is>
          <t>backend/app/Services/BookingService.php, backend/app/Http/Controllers/BookingRequestController.php, frontend/src/components/features/owner/BookingsManager.tsx</t>
        </is>
      </c>
      <c r="F65" s="5" t="inlineStr">
        <is>
          <t>Statuses: pending/approved/rejected only (BookingStatus); the applicant must be a logged-in freelancer (no public form for visitors); no "available" and no "cancelled"; approval creates a subscription + invoice and notifies the Webhook</t>
        </is>
      </c>
    </row>
    <row r="66">
      <c r="A66" s="5" t="inlineStr">
        <is>
          <t>§3.4 — Booking hub (FR-BKG)</t>
        </is>
      </c>
      <c r="B66" s="5" t="inlineStr">
        <is>
          <t>FR-BKG-01</t>
        </is>
      </c>
      <c r="C66" s="5" t="inlineStr">
        <is>
          <t>Views: timeline, calendar, contracts, attendance</t>
        </is>
      </c>
      <c r="D66" s="5" t="inlineStr">
        <is>
          <t>⬜</t>
        </is>
      </c>
      <c r="E66" s="5" t="inlineStr">
        <is>
          <t>frontend/src/components/features/owner/SeatBoard.tsx (seat board only)</t>
        </is>
      </c>
      <c r="F66" s="5" t="inlineStr">
        <is>
          <t>No Booking Hub, no timeline, and no calendar</t>
        </is>
      </c>
    </row>
    <row r="67">
      <c r="A67" s="5" t="inlineStr">
        <is>
          <t>§3.4 — Booking hub (FR-BKG)</t>
        </is>
      </c>
      <c r="B67" s="5" t="inlineStr">
        <is>
          <t>FR-BKG-02</t>
        </is>
      </c>
      <c r="C67" s="5" t="inlineStr">
        <is>
          <t>New booking with subscriber/type/station/period and hours 08:00–15:00</t>
        </is>
      </c>
      <c r="D67" s="5" t="inlineStr">
        <is>
          <t>⬜</t>
        </is>
      </c>
      <c r="E67" s="5" t="inlineStr">
        <is>
          <t>backend/app/Services/SeatService.php (assigns a seat to a member)</t>
        </is>
      </c>
      <c r="F67" s="5" t="inlineStr">
        <is>
          <t>No booking by periods/daily hours; only seat assignment to a subscription</t>
        </is>
      </c>
    </row>
    <row r="68">
      <c r="A68" s="5" t="inlineStr">
        <is>
          <t>§3.4 — Booking hub (FR-BKG)</t>
        </is>
      </c>
      <c r="B68" s="5" t="inlineStr">
        <is>
          <t>FR-BKG-03</t>
        </is>
      </c>
      <c r="C68" s="5" t="inlineStr">
        <is>
          <t>Attendance confirmation (confirmed/absent/partial/pending), manual or automatic, with undo</t>
        </is>
      </c>
      <c r="D68" s="5" t="inlineStr">
        <is>
          <t>⬜</t>
        </is>
      </c>
      <c r="E68" s="5" t="inlineStr">
        <is>
          <t>—</t>
        </is>
      </c>
      <c r="F68" s="5" t="inlineStr">
        <is>
          <t>No attendance at all</t>
        </is>
      </c>
    </row>
    <row r="69">
      <c r="A69" s="5" t="inlineStr">
        <is>
          <t>§3.4 — Booking hub (FR-BKG)</t>
        </is>
      </c>
      <c r="B69" s="5" t="inlineStr">
        <is>
          <t>FR-BKG-04</t>
        </is>
      </c>
      <c r="C69" s="5" t="inlineStr">
        <is>
          <t>New contract (duration in months, grace, auto-renewal) + create the current month's booking</t>
        </is>
      </c>
      <c r="D69" s="5" t="inlineStr">
        <is>
          <t>🟨</t>
        </is>
      </c>
      <c r="E69" s="5" t="inlineStr">
        <is>
          <t>backend/app/Services/BookingService.php (approve creates a subscription), backend/app/Models/Subscription.php</t>
        </is>
      </c>
      <c r="F69" s="5" t="inlineStr">
        <is>
          <t>Subscription has start/end only; no duration in months, no grace, no auto-renewal, and no monthly booking</t>
        </is>
      </c>
    </row>
    <row r="70">
      <c r="A70" s="5" t="inlineStr">
        <is>
          <t>§3.4 — Booking hub (FR-BKG)</t>
        </is>
      </c>
      <c r="B70" s="5" t="inlineStr">
        <is>
          <t>FR-BKG-05</t>
        </is>
      </c>
      <c r="C70" s="5" t="inlineStr">
        <is>
          <t>Exceeding approved hours requires a mandatory reason</t>
        </is>
      </c>
      <c r="D70" s="5" t="inlineStr">
        <is>
          <t>⬜</t>
        </is>
      </c>
      <c r="E70" s="5" t="inlineStr">
        <is>
          <t>—</t>
        </is>
      </c>
      <c r="F70" s="5" t="inlineStr">
        <is>
          <t>No concept of approved hours</t>
        </is>
      </c>
    </row>
    <row r="71">
      <c r="A71" s="5" t="inlineStr">
        <is>
          <t>§3.4 — Booking hub (FR-BKG)</t>
        </is>
      </c>
      <c r="B71" s="5" t="inlineStr">
        <is>
          <t>FR-BKG-06</t>
        </is>
      </c>
      <c r="C71" s="5" t="inlineStr">
        <is>
          <t>Monthly attendance summary + AUTO sync with the router</t>
        </is>
      </c>
      <c r="D71" s="5" t="inlineStr">
        <is>
          <t>⬜</t>
        </is>
      </c>
      <c r="E71" s="5" t="inlineStr">
        <is>
          <t>backend/app/Services/InternetAccessService.php (only generates internet login credentials, with no router connection)</t>
        </is>
      </c>
      <c r="F71" s="5" t="inlineStr">
        <is>
          <t>No MikroTik integration and no session reading</t>
        </is>
      </c>
    </row>
    <row r="72">
      <c r="A72" s="5" t="inlineStr">
        <is>
          <t>§3.4 — GSG UR Tracker (FR-TRK)</t>
        </is>
      </c>
      <c r="B72" s="5" t="inlineStr">
        <is>
          <t>FR-TRK-01</t>
        </is>
      </c>
      <c r="C72" s="5" t="inlineStr">
        <is>
          <t>Four-step UR audit calculator</t>
        </is>
      </c>
      <c r="D72" s="5" t="inlineStr">
        <is>
          <t>⬜</t>
        </is>
      </c>
      <c r="E72" s="5" t="inlineStr">
        <is>
          <t>—</t>
        </is>
      </c>
      <c r="F72" s="5" t="inlineStr">
        <is>
          <t>Entirely new</t>
        </is>
      </c>
    </row>
    <row r="73">
      <c r="A73" s="5" t="inlineStr">
        <is>
          <t>§3.4 — GSG UR Tracker (FR-TRK)</t>
        </is>
      </c>
      <c r="B73" s="5" t="inlineStr">
        <is>
          <t>FR-TRK-02</t>
        </is>
      </c>
      <c r="C73" s="5" t="inlineStr">
        <is>
          <t>Attendance modes (Active Actual, Day Span, Hour Bucket, Half-Hour)</t>
        </is>
      </c>
      <c r="D73" s="5" t="inlineStr">
        <is>
          <t>⬜</t>
        </is>
      </c>
      <c r="E73" s="5" t="inlineStr">
        <is>
          <t>—</t>
        </is>
      </c>
      <c r="F73" s="5" t="inlineStr">
        <is>
          <t>New; depends on session data</t>
        </is>
      </c>
    </row>
    <row r="74">
      <c r="A74" s="5" t="inlineStr">
        <is>
          <t>§3.4 — GSG UR Tracker (FR-TRK)</t>
        </is>
      </c>
      <c r="B74" s="5" t="inlineStr">
        <is>
          <t>FR-TRK-03</t>
        </is>
      </c>
      <c r="C74" s="5" t="inlineStr">
        <is>
          <t>AR→C→max→TypeW→ΣH/Tmax chain and RAW/UTD/EXPECTED/FINAL readings</t>
        </is>
      </c>
      <c r="D74" s="5" t="inlineStr">
        <is>
          <t>⬜</t>
        </is>
      </c>
      <c r="E74" s="5" t="inlineStr">
        <is>
          <t>—</t>
        </is>
      </c>
      <c r="F74" s="5" t="inlineStr">
        <is>
          <t>New formula and parameters engine (32)</t>
        </is>
      </c>
    </row>
    <row r="75">
      <c r="A75" s="5" t="inlineStr">
        <is>
          <t>§3.4 — Programs (FR-PRG)</t>
        </is>
      </c>
      <c r="B75" s="5" t="inlineStr">
        <is>
          <t>FR-PRG-01</t>
        </is>
      </c>
      <c r="C75" s="5" t="inlineStr">
        <is>
          <t>Portfolio of agreements and seats, seat price, and governance log</t>
        </is>
      </c>
      <c r="D75" s="5" t="inlineStr">
        <is>
          <t>⬜</t>
        </is>
      </c>
      <c r="E75" s="5" t="inlineStr">
        <is>
          <t>—</t>
        </is>
      </c>
      <c r="F75" s="5" t="inlineStr">
        <is>
          <t>New Program/Agreement/Seat-assignment/Governance log entities (the current Seat is physical, not funding-related)</t>
        </is>
      </c>
    </row>
    <row r="76">
      <c r="A76" s="5" t="inlineStr">
        <is>
          <t>§3.4 — Programs (FR-PRG)</t>
        </is>
      </c>
      <c r="B76" s="5" t="inlineStr">
        <is>
          <t>FR-PRG-02</t>
        </is>
      </c>
      <c r="C76" s="5" t="inlineStr">
        <is>
          <t>Frozen monthly claims + PDF/Word/TXT letter + withdrawal</t>
        </is>
      </c>
      <c r="D76" s="5" t="inlineStr">
        <is>
          <t>⬜</t>
        </is>
      </c>
      <c r="E76" s="5" t="inlineStr">
        <is>
          <t>backend/app/Services/InvoicePdfService.php (mPDF for invoices only)</t>
        </is>
      </c>
      <c r="F76" s="5" t="inlineStr">
        <is>
          <t>The Claim entity, amount freezing, and the letter generator are new</t>
        </is>
      </c>
    </row>
    <row r="77">
      <c r="A77" s="5" t="inlineStr">
        <is>
          <t>§3.4 — Programs (FR-PRG)</t>
        </is>
      </c>
      <c r="B77" s="5" t="inlineStr">
        <is>
          <t>FR-PRG-03</t>
        </is>
      </c>
      <c r="C77" s="5" t="inlineStr">
        <is>
          <t>Workspace report in PDF/Word/Excel/CSV</t>
        </is>
      </c>
      <c r="D77" s="5" t="inlineStr">
        <is>
          <t>⬜</t>
        </is>
      </c>
      <c r="E77" s="5" t="inlineStr">
        <is>
          <t>backend/app/Services/Owner/OwnerExportService.php (CSV)</t>
        </is>
      </c>
      <c r="F77" s="5" t="inlineStr">
        <is>
          <t>No programs report and no Word/Excel</t>
        </is>
      </c>
    </row>
    <row r="78">
      <c r="A78" s="5" t="inlineStr">
        <is>
          <t>§3.4 — Programs (FR-PRG)</t>
        </is>
      </c>
      <c r="B78" s="5" t="inlineStr">
        <is>
          <t>FR-PRG-04</t>
        </is>
      </c>
      <c r="C78" s="5" t="inlineStr">
        <is>
          <t>"Live": which funded-seat holders are present right now</t>
        </is>
      </c>
      <c r="D78" s="5" t="inlineStr">
        <is>
          <t>⬜</t>
        </is>
      </c>
      <c r="E78" s="5" t="inlineStr">
        <is>
          <t>—</t>
        </is>
      </c>
      <c r="F78" s="5" t="inlineStr">
        <is>
          <t>Requires router readings</t>
        </is>
      </c>
    </row>
    <row r="79">
      <c r="A79" s="5" t="inlineStr">
        <is>
          <t>§3.4 — Programs (FR-PRG)</t>
        </is>
      </c>
      <c r="B79" s="5" t="inlineStr">
        <is>
          <t>FR-PRG-05</t>
        </is>
      </c>
      <c r="C79" s="5" t="inlineStr">
        <is>
          <t>Seat board per agreement; assignment from the operator dashboard</t>
        </is>
      </c>
      <c r="D79" s="5" t="inlineStr">
        <is>
          <t>⬜</t>
        </is>
      </c>
      <c r="E79" s="5" t="inlineStr">
        <is>
          <t>—</t>
        </is>
      </c>
      <c r="F79" s="5" t="inlineStr">
        <is>
          <t>New</t>
        </is>
      </c>
    </row>
    <row r="80">
      <c r="A80" s="5" t="inlineStr">
        <is>
          <t>§3.4 — Month close (FR-MCL)</t>
        </is>
      </c>
      <c r="B80" s="5" t="inlineStr">
        <is>
          <t>FR-MCL-01</t>
        </is>
      </c>
      <c r="C80" s="5" t="inlineStr">
        <is>
          <t>4-step month-close wizard</t>
        </is>
      </c>
      <c r="D80" s="5" t="inlineStr">
        <is>
          <t>⬜</t>
        </is>
      </c>
      <c r="E80" s="5" t="inlineStr">
        <is>
          <t>—</t>
        </is>
      </c>
      <c r="F80" s="5" t="inlineStr">
        <is>
          <t>New</t>
        </is>
      </c>
    </row>
    <row r="81">
      <c r="A81" s="5" t="inlineStr">
        <is>
          <t>§3.4 — Month close (FR-MCL)</t>
        </is>
      </c>
      <c r="B81" s="5" t="inlineStr">
        <is>
          <t>FR-MCL-02</t>
        </is>
      </c>
      <c r="C81" s="5" t="inlineStr">
        <is>
          <t>22 quality checks in 7 categories + automatic/smart fix</t>
        </is>
      </c>
      <c r="D81" s="5" t="inlineStr">
        <is>
          <t>⬜</t>
        </is>
      </c>
      <c r="E81" s="5" t="inlineStr">
        <is>
          <t>—</t>
        </is>
      </c>
      <c r="F81" s="5" t="inlineStr">
        <is>
          <t>New</t>
        </is>
      </c>
    </row>
    <row r="82">
      <c r="A82" s="5" t="inlineStr">
        <is>
          <t>§3.4 — Month close (FR-MCL)</t>
        </is>
      </c>
      <c r="B82" s="5" t="inlineStr">
        <is>
          <t>FR-MCL-03</t>
        </is>
      </c>
      <c r="C82" s="5" t="inlineStr">
        <is>
          <t>Closing sends the month to UTR review</t>
        </is>
      </c>
      <c r="D82" s="5" t="inlineStr">
        <is>
          <t>⬜</t>
        </is>
      </c>
      <c r="E82" s="5" t="inlineStr">
        <is>
          <t>—</t>
        </is>
      </c>
      <c r="F82" s="5" t="inlineStr">
        <is>
          <t>New (requires an approvals queue on the admin side)</t>
        </is>
      </c>
    </row>
    <row r="83">
      <c r="A83" s="5" t="inlineStr">
        <is>
          <t>§3.4 — Utilization and UTR review (FR-UR)</t>
        </is>
      </c>
      <c r="B83" s="5" t="inlineStr">
        <is>
          <t>FR-UR-01</t>
        </is>
      </c>
      <c r="C83" s="5" t="inlineStr">
        <is>
          <t>Official UR figure (SSOT) + three readings + Qualified-C</t>
        </is>
      </c>
      <c r="D83" s="5" t="inlineStr">
        <is>
          <t>⬜</t>
        </is>
      </c>
      <c r="E83" s="5" t="inlineStr">
        <is>
          <t>—</t>
        </is>
      </c>
      <c r="F83" s="5" t="inlineStr">
        <is>
          <t>New (the current occupancy in OwnerDashboardService.php is a seat ratio, not UR)</t>
        </is>
      </c>
    </row>
    <row r="84">
      <c r="A84" s="5" t="inlineStr">
        <is>
          <t>§3.4 — Utilization and UTR review (FR-UR)</t>
        </is>
      </c>
      <c r="B84" s="5" t="inlineStr">
        <is>
          <t>FR-UR-02</t>
        </is>
      </c>
      <c r="C84" s="5" t="inlineStr">
        <is>
          <t>Difference between the current UR and the expected UR after approval</t>
        </is>
      </c>
      <c r="D84" s="5" t="inlineStr">
        <is>
          <t>⬜</t>
        </is>
      </c>
      <c r="E84" s="5" t="inlineStr">
        <is>
          <t>—</t>
        </is>
      </c>
      <c r="F84" s="5" t="inlineStr">
        <is>
          <t>New</t>
        </is>
      </c>
    </row>
    <row r="85">
      <c r="A85" s="5" t="inlineStr">
        <is>
          <t>§3.4 — Utilization and UTR review (FR-UR)</t>
        </is>
      </c>
      <c r="B85" s="5" t="inlineStr">
        <is>
          <t>FR-UR-03</t>
        </is>
      </c>
      <c r="C85" s="5" t="inlineStr">
        <is>
          <t>Hours distribution/C factor/12-month trend/recommendations/refresh now</t>
        </is>
      </c>
      <c r="D85" s="5" t="inlineStr">
        <is>
          <t>⬜</t>
        </is>
      </c>
      <c r="E85" s="5" t="inlineStr">
        <is>
          <t>—</t>
        </is>
      </c>
      <c r="F85" s="5" t="inlineStr">
        <is>
          <t>New</t>
        </is>
      </c>
    </row>
    <row r="86">
      <c r="A86" s="5" t="inlineStr">
        <is>
          <t>§3.4 — Utilization and UTR review (FR-UR)</t>
        </is>
      </c>
      <c r="B86" s="5" t="inlineStr">
        <is>
          <t>FR-UR-04</t>
        </is>
      </c>
      <c r="C86" s="5" t="inlineStr">
        <is>
          <t>Per-subscriber review screen + justification note + smart type suggestions + behavioral analysis</t>
        </is>
      </c>
      <c r="D86" s="5" t="inlineStr">
        <is>
          <t>⬜</t>
        </is>
      </c>
      <c r="E86" s="5" t="inlineStr">
        <is>
          <t>—</t>
        </is>
      </c>
      <c r="F86" s="5" t="inlineStr">
        <is>
          <t>New (UTR Record)</t>
        </is>
      </c>
    </row>
    <row r="87">
      <c r="A87" s="5" t="inlineStr">
        <is>
          <t>§3.5 — Analytics and reports</t>
        </is>
      </c>
      <c r="B87" s="5" t="inlineStr">
        <is>
          <t>FR-ANL-01</t>
        </is>
      </c>
      <c r="C87" s="5" t="inlineStr">
        <is>
          <t>Analytics with 8 tabs (overview, advanced, monthly, retention, comparison, ratings, KPI, devices)</t>
        </is>
      </c>
      <c r="D87" s="5" t="inlineStr">
        <is>
          <t>🟨</t>
        </is>
      </c>
      <c r="E87" s="5" t="inlineStr">
        <is>
          <t>backend/app/Services/OwnerDashboardService.php, backend/app/Services/Admin/AnalyticsService.php, frontend/src/components/features/admin/AnalyticsDashboard.tsx</t>
        </is>
      </c>
      <c r="F87" s="5" t="inlineStr">
        <is>
          <t>Only the owner dashboard (6-month revenue, gender, status) and the admin dashboard (city/gender); no /analytics page for the owner and no retention/comparison/devices/KPI tabs; workspace ratings exist separately (backend/app/Services/ReviewService.php)</t>
        </is>
      </c>
    </row>
    <row r="88">
      <c r="A88" s="5" t="inlineStr">
        <is>
          <t>§3.5 — Analytics and reports</t>
        </is>
      </c>
      <c r="B88" s="5" t="inlineStr">
        <is>
          <t>FR-RPT-01</t>
        </is>
      </c>
      <c r="C88" s="5" t="inlineStr">
        <is>
          <t>19 report types + year/month + quick generate</t>
        </is>
      </c>
      <c r="D88" s="5" t="inlineStr">
        <is>
          <t>🟨</t>
        </is>
      </c>
      <c r="E88" s="5" t="inlineStr">
        <is>
          <t>backend/app/Services/OwnerReportsService.php, backend/app/Services/Pos/PosReportService.php, frontend/src/components/features/owner/OwnerReportsSections.tsx</t>
        </is>
      </c>
      <c r="F88" s="5" t="inlineStr">
        <is>
          <t>Exists in some form: (1) subscribers list (CSV), (2) monthly financial summary/profit and loss, (3) debt aging (collections) — partial approximation, (4) package usage (package uptake), (5) POS sales report. Missing: executive summary, capacity, subscriber health, retention, occupancy in its three variants, loyalty, network consumption, demand forecast, potential revenue, period comparison, data quality, time analysis, unified dashboard, GSG monthly report. Export is CSV only (PDF for invoices only)</t>
        </is>
      </c>
    </row>
    <row r="89">
      <c r="A89" s="5" t="inlineStr">
        <is>
          <t>§4 — Freelancer (FR-FL + touchpoints)</t>
        </is>
      </c>
      <c r="B89" s="5" t="inlineStr">
        <is>
          <t>FR-FL-01</t>
        </is>
      </c>
      <c r="C89" s="5" t="inlineStr">
        <is>
          <t>Phone OTP login portal</t>
        </is>
      </c>
      <c r="D89" s="5" t="inlineStr">
        <is>
          <t>⬜</t>
        </is>
      </c>
      <c r="E89" s="5" t="inlineStr">
        <is>
          <t>backend/app/Services/Auth/TaqatSsoService.php, backend/app/Http/Controllers/Auth/TaqatSsoController.php</t>
        </is>
      </c>
      <c r="F89" s="5" t="inlineStr">
        <is>
          <t>Login is currently email/password + SSO; no OTP (Sms/ exists only as a sending driver in backend/app/Services/Sms/SmsService.php)</t>
        </is>
      </c>
    </row>
    <row r="90">
      <c r="A90" s="5" t="inlineStr">
        <is>
          <t>§4 — Freelancer (FR-FL + touchpoints)</t>
        </is>
      </c>
      <c r="B90" s="5" t="inlineStr">
        <is>
          <t>FR-FL-02</t>
        </is>
      </c>
      <c r="C90" s="5" t="inlineStr">
        <is>
          <t>View subscription, hours, attendance, balance, and invoices, and download them</t>
        </is>
      </c>
      <c r="D90" s="5" t="inlineStr">
        <is>
          <t>🟨</t>
        </is>
      </c>
      <c r="E90" s="5" t="inlineStr">
        <is>
          <t>backend/app/Http/Controllers/Member/DashboardController.php, backend/app/Http/Controllers/Member/InvoiceController.php, frontend/src/app/[locale]/(dashboard)/freelancer/invoices/page.tsx</t>
        </is>
      </c>
      <c r="F90" s="5" t="inlineStr">
        <is>
          <t>Subscription, invoices, and PDF download (/invoices/{invoice}/pdf) exist; no hours/attendance and no wallet/balance</t>
        </is>
      </c>
    </row>
    <row r="91">
      <c r="A91" s="5" t="inlineStr">
        <is>
          <t>§4 — Freelancer (FR-FL + touchpoints)</t>
        </is>
      </c>
      <c r="B91" s="5" t="inlineStr">
        <is>
          <t>FR-FL-03</t>
        </is>
      </c>
      <c r="C91" s="5" t="inlineStr">
        <is>
          <t>Request renewal/plan change and book a room</t>
        </is>
      </c>
      <c r="D91" s="5" t="inlineStr">
        <is>
          <t>🟨</t>
        </is>
      </c>
      <c r="E91" s="5" t="inlineStr">
        <is>
          <t>backend/app/Http/Controllers/BookingRequestController.php, backend/app/Http/Controllers/SubscriptionController.php</t>
        </is>
      </c>
      <c r="F91" s="5" t="inlineStr">
        <is>
          <t>New subscription request and cancellation exist; no renewal/plan-change request and no room booking</t>
        </is>
      </c>
    </row>
    <row r="92">
      <c r="A92" s="5" t="inlineStr">
        <is>
          <t>§4 — Freelancer (FR-FL + touchpoints)</t>
        </is>
      </c>
      <c r="B92" s="5" t="inlineStr">
        <is>
          <t>FR-FL-04</t>
        </is>
      </c>
      <c r="C92" s="5" t="inlineStr">
        <is>
          <t>Dispute incorrect hours/charges</t>
        </is>
      </c>
      <c r="D92" s="5" t="inlineStr">
        <is>
          <t>⬜</t>
        </is>
      </c>
      <c r="E92" s="5" t="inlineStr">
        <is>
          <t>backend/app/Http/Controllers/Member/InvoiceController.php (receipt upload only)</t>
        </is>
      </c>
      <c r="F92" s="5" t="inlineStr">
        <is>
          <t>No dispute mechanism (could be built on top of messaging/chat backend/app/Http/Controllers/ChatController.php)</t>
        </is>
      </c>
    </row>
    <row r="93">
      <c r="A93" s="5" t="inlineStr">
        <is>
          <t>§4 — Freelancer (FR-FL + touchpoints)</t>
        </is>
      </c>
      <c r="B93" s="5" t="inlineStr">
        <is>
          <t>FR-FL-05</t>
        </is>
      </c>
      <c r="C93" s="5" t="inlineStr">
        <is>
          <t>Manage their linked devices</t>
        </is>
      </c>
      <c r="D93" s="5" t="inlineStr">
        <is>
          <t>⬜</t>
        </is>
      </c>
      <c r="E93" s="5" t="inlineStr">
        <is>
          <t>backend/app/Models/DeviceToken.php (Push tokens only, not network devices)</t>
        </is>
      </c>
      <c r="F93" s="5" t="inlineStr">
        <is>
          <t>New Device entity (MAC/IP)</t>
        </is>
      </c>
    </row>
    <row r="94">
      <c r="A94" s="5" t="inlineStr">
        <is>
          <t>§4 — Freelancer (FR-FL + touchpoints)</t>
        </is>
      </c>
      <c r="B94" s="5" t="inlineStr">
        <is>
          <t>FL-TP-GUEST</t>
        </is>
      </c>
      <c r="C94" s="5" t="inlineStr">
        <is>
          <t>Guest self-registration via Hotspot</t>
        </is>
      </c>
      <c r="D94" s="5" t="inlineStr">
        <is>
          <t>⬜</t>
        </is>
      </c>
      <c r="E94" s="5" t="inlineStr">
        <is>
          <t>backend/app/Services/InternetAccessService.php</t>
        </is>
      </c>
      <c r="F94" s="5" t="inlineStr">
        <is>
          <t>No Hotspot/MikroTik; what exists is manual issuance of internet credentials by the owner</t>
        </is>
      </c>
    </row>
    <row r="95">
      <c r="A95" s="5" t="inlineStr">
        <is>
          <t>§4 — Freelancer (FR-FL + touchpoints)</t>
        </is>
      </c>
      <c r="B95" s="5" t="inlineStr">
        <is>
          <t>FL-TP-STATUS</t>
        </is>
      </c>
      <c r="C95" s="5" t="inlineStr">
        <is>
          <t>Public "My status" page</t>
        </is>
      </c>
      <c r="D95" s="5" t="inlineStr">
        <is>
          <t>🟨</t>
        </is>
      </c>
      <c r="E95" s="5" t="inlineStr">
        <is>
          <t>frontend/src/app/[locale]/(dashboard)/freelancer/subscription/page.tsx, backend/app/Http/Controllers/Partner/MembershipController.php</t>
        </is>
      </c>
      <c r="F95" s="5" t="inlineStr">
        <is>
          <t>Subscription status inside the logged-in dashboard + partner API; no public phone-based page</t>
        </is>
      </c>
    </row>
    <row r="96">
      <c r="A96" s="5" t="inlineStr">
        <is>
          <t>§4 — Freelancer (FR-FL + touchpoints)</t>
        </is>
      </c>
      <c r="B96" s="5" t="inlineStr">
        <is>
          <t>FL-TP-FORMS</t>
        </is>
      </c>
      <c r="C96" s="5" t="inlineStr">
        <is>
          <t>Public subscription-request and room-booking forms with duration limits</t>
        </is>
      </c>
      <c r="D96" s="5" t="inlineStr">
        <is>
          <t>🟨</t>
        </is>
      </c>
      <c r="E96" s="5" t="inlineStr">
        <is>
          <t>frontend/src/app/[locale]/(public)/workspaces/[id]/page.tsx, backend/app/Http/Controllers/BookingRequestController.php</t>
        </is>
      </c>
      <c r="F96" s="5" t="inlineStr">
        <is>
          <t>The request requires a freelancer account; no visitor form, no room booking, and no duration/advance-booking limits</t>
        </is>
      </c>
    </row>
    <row r="97">
      <c r="A97" s="5" t="inlineStr">
        <is>
          <t>§4 — Freelancer (FR-FL + touchpoints)</t>
        </is>
      </c>
      <c r="B97" s="5" t="inlineStr">
        <is>
          <t>FL-TP-POS</t>
        </is>
      </c>
      <c r="C97" s="5" t="inlineStr">
        <is>
          <t>Hospitality/POS purchases are added to the account or collected immediately</t>
        </is>
      </c>
      <c r="D97" s="5" t="inlineStr">
        <is>
          <t>✅</t>
        </is>
      </c>
      <c r="E97" s="5" t="inlineStr">
        <is>
          <t>backend/app/Services/Pos/PosOrderService.php, backend/routes/api/freelancer-pos.php, frontend/src/app/[locale]/(dashboard)/freelancer/pos/page.tsx</t>
        </is>
      </c>
      <c r="F97" s="5" t="inlineStr">
        <is>
          <t>The freelancer orders and the cashier collects; no adding to an account/invoice and no wallet (per the current model: pay at the counter)</t>
        </is>
      </c>
    </row>
    <row r="98">
      <c r="A98" s="5" t="inlineStr">
        <is>
          <t>§4 — Freelancer (FR-FL + touchpoints)</t>
        </is>
      </c>
      <c r="B98" s="5" t="inlineStr">
        <is>
          <t>FL-TP-HOLIDAY</t>
        </is>
      </c>
      <c r="C98" s="5" t="inlineStr">
        <is>
          <t>Approved holidays remove days from working days</t>
        </is>
      </c>
      <c r="D98" s="5" t="inlineStr">
        <is>
          <t>⬜</t>
        </is>
      </c>
      <c r="E98" s="5" t="inlineStr">
        <is>
          <t>—</t>
        </is>
      </c>
      <c r="F98" s="5" t="inlineStr">
        <is>
          <t>New Holiday entity (closest is the working_hours JSON in Workspace)</t>
        </is>
      </c>
    </row>
    <row r="99">
      <c r="A99" s="5" t="inlineStr">
        <is>
          <t>§4 — Freelancer (FR-FL + touchpoints)</t>
        </is>
      </c>
      <c r="B99" s="5" t="inlineStr">
        <is>
          <t>FL-TP-TOOLS</t>
        </is>
      </c>
      <c r="C99" s="5" t="inlineStr">
        <is>
          <t>Split/merge/block tools</t>
        </is>
      </c>
      <c r="D99" s="5" t="inlineStr">
        <is>
          <t>⬜</t>
        </is>
      </c>
      <c r="E99" s="5" t="inlineStr">
        <is>
          <t>—</t>
        </is>
      </c>
      <c r="F99" s="5" t="inlineStr">
        <is>
          <t>New</t>
        </is>
      </c>
    </row>
    <row r="100">
      <c r="A100" s="5" t="inlineStr">
        <is>
          <t>§5 — Super admin (FR-SA)</t>
        </is>
      </c>
      <c r="B100" s="5" t="inlineStr">
        <is>
          <t>FR-SA-01</t>
        </is>
      </c>
      <c r="C100" s="5" t="inlineStr">
        <is>
          <t>Workspace management: create, activate/suspend, assign a plan</t>
        </is>
      </c>
      <c r="D100" s="5" t="inlineStr">
        <is>
          <t>🟨</t>
        </is>
      </c>
      <c r="E100" s="5" t="inlineStr">
        <is>
          <t>backend/app/Services/Admin/AdminWorkspaceService.php, backend/routes/api/workspaces.php, frontend/src/components/features/admin/WorkspacesTable.tsx</t>
        </is>
      </c>
      <c r="F100" s="5" t="inlineStr">
        <is>
          <t>Activate/suspend/publish/unpublish exists; admin-side creation and assigning a "plan" to a workspace do not exist (no SaaS plans per the business model)</t>
        </is>
      </c>
    </row>
    <row r="101">
      <c r="A101" s="5" t="inlineStr">
        <is>
          <t>§5 — Super admin (FR-SA)</t>
        </is>
      </c>
      <c r="B101" s="5" t="inlineStr">
        <is>
          <t>FR-SA-02</t>
        </is>
      </c>
      <c r="C101" s="5" t="inlineStr">
        <is>
          <t>UTR approvals queue across all workspaces</t>
        </is>
      </c>
      <c r="D101" s="5" t="inlineStr">
        <is>
          <t>⬜</t>
        </is>
      </c>
      <c r="E101" s="5" t="inlineStr">
        <is>
          <t>—</t>
        </is>
      </c>
      <c r="F101" s="5" t="inlineStr">
        <is>
          <t>New</t>
        </is>
      </c>
    </row>
    <row r="102">
      <c r="A102" s="5" t="inlineStr">
        <is>
          <t>§5 — Super admin (FR-SA)</t>
        </is>
      </c>
      <c r="B102" s="5" t="inlineStr">
        <is>
          <t>FR-SA-03</t>
        </is>
      </c>
      <c r="C102" s="5" t="inlineStr">
        <is>
          <t>Manage programs, agreements, and seat boards</t>
        </is>
      </c>
      <c r="D102" s="5" t="inlineStr">
        <is>
          <t>⬜</t>
        </is>
      </c>
      <c r="E102" s="5" t="inlineStr">
        <is>
          <t>—</t>
        </is>
      </c>
      <c r="F102" s="5" t="inlineStr">
        <is>
          <t>New</t>
        </is>
      </c>
    </row>
    <row r="103">
      <c r="A103" s="5" t="inlineStr">
        <is>
          <t>§5 — Super admin (FR-SA)</t>
        </is>
      </c>
      <c r="B103" s="5" t="inlineStr">
        <is>
          <t>FR-SA-04</t>
        </is>
      </c>
      <c r="C103" s="5" t="inlineStr">
        <is>
          <t>Receive claims and track their disbursement</t>
        </is>
      </c>
      <c r="D103" s="5" t="inlineStr">
        <is>
          <t>⬜</t>
        </is>
      </c>
      <c r="E103" s="5" t="inlineStr">
        <is>
          <t>—</t>
        </is>
      </c>
      <c r="F103" s="5" t="inlineStr">
        <is>
          <t>New</t>
        </is>
      </c>
    </row>
    <row r="104">
      <c r="A104" s="5" t="inlineStr">
        <is>
          <t>§5 — Super admin (FR-SA)</t>
        </is>
      </c>
      <c r="B104" s="5" t="inlineStr">
        <is>
          <t>FR-SA-05</t>
        </is>
      </c>
      <c r="C104" s="5" t="inlineStr">
        <is>
          <t>Approve sensitive settings changes and domains</t>
        </is>
      </c>
      <c r="D104" s="5" t="inlineStr">
        <is>
          <t>🟨</t>
        </is>
      </c>
      <c r="E104" s="5" t="inlineStr">
        <is>
          <t>backend/app/Services/Admin/AdminWorkspaceService.php (workspace publish/approval cycle)</t>
        </is>
      </c>
      <c r="F104" s="5" t="inlineStr">
        <is>
          <t>Workspace publish approval only; no settings-change or custom-domain requests</t>
        </is>
      </c>
    </row>
    <row r="105">
      <c r="A105" s="5" t="inlineStr">
        <is>
          <t>§5 — Super admin (FR-SA)</t>
        </is>
      </c>
      <c r="B105" s="5" t="inlineStr">
        <is>
          <t>FR-SA-06</t>
        </is>
      </c>
      <c r="C105" s="5" t="inlineStr">
        <is>
          <t>Manage the global UR formula parameters</t>
        </is>
      </c>
      <c r="D105" s="5" t="inlineStr">
        <is>
          <t>⬜</t>
        </is>
      </c>
      <c r="E105" s="5" t="inlineStr">
        <is>
          <t>backend/app/Models/SiteSetting.php (general site settings unrelated to the formula)</t>
        </is>
      </c>
      <c r="F105" s="5" t="inlineStr">
        <is>
          <t>New Parameter Set</t>
        </is>
      </c>
    </row>
    <row r="106">
      <c r="A106" s="5" t="inlineStr">
        <is>
          <t>§5 — Super admin (FR-SA)</t>
        </is>
      </c>
      <c r="B106" s="5" t="inlineStr">
        <is>
          <t>FR-SA-07</t>
        </is>
      </c>
      <c r="C106" s="5" t="inlineStr">
        <is>
          <t>Sync health monitoring and router-down alert</t>
        </is>
      </c>
      <c r="D106" s="5" t="inlineStr">
        <is>
          <t>⬜</t>
        </is>
      </c>
      <c r="E106" s="5" t="inlineStr">
        <is>
          <t>backend/app/Http/Controllers/HealthController.php (API health only)</t>
        </is>
      </c>
      <c r="F106" s="5" t="inlineStr">
        <is>
          <t>No routers and no sync</t>
        </is>
      </c>
    </row>
    <row r="107">
      <c r="A107" s="5" t="inlineStr">
        <is>
          <t>§5 — Super admin (FR-SA)</t>
        </is>
      </c>
      <c r="B107" s="5" t="inlineStr">
        <is>
          <t>SA-RPT</t>
        </is>
      </c>
      <c r="C107" s="5" t="inlineStr">
        <is>
          <t>Aggregate workspace reports for the donor</t>
        </is>
      </c>
      <c r="D107" s="5" t="inlineStr">
        <is>
          <t>🟨</t>
        </is>
      </c>
      <c r="E107" s="5" t="inlineStr">
        <is>
          <t>backend/app/Services/Admin/ReportsService.php, backend/app/Services/Admin/AnalyticsService.php, backend/app/Services/Admin/ExportService.php</t>
        </is>
      </c>
      <c r="F107" s="5" t="inlineStr">
        <is>
          <t>Platform-wide aggregation of revenue/subscriptions/workspaces/cities/gender + CSV; no GSG report and no donor/program data</t>
        </is>
      </c>
    </row>
    <row r="108">
      <c r="A108" s="5" t="inlineStr">
        <is>
          <t>§6 — Permissions matrix and flows</t>
        </is>
      </c>
      <c r="B108" s="5" t="inlineStr">
        <is>
          <t>PERM-ROLES</t>
        </is>
      </c>
      <c r="C108" s="5" t="inlineStr">
        <is>
          <t>4 roles: owner, staff, freelancer, super admin</t>
        </is>
      </c>
      <c r="D108" s="5" t="inlineStr">
        <is>
          <t>✅</t>
        </is>
      </c>
      <c r="E108" s="5" t="inlineStr">
        <is>
          <t>backend/app/Enums/UserRole.php, backend/app/Enums/PosPermission.php, backend/app/Enums/AdminPermission.php</t>
        </is>
      </c>
      <c r="F108" s="5" t="inlineStr">
        <is>
          <t>"Workspace staff" = cashier with POS permissions only (sell/refund/manage_products/view_reports); no finance-supervisor/hospitality staff and no separate invoice/expense/import permissions</t>
        </is>
      </c>
    </row>
    <row r="109">
      <c r="A109" s="5" t="inlineStr">
        <is>
          <t>§6 — Permissions matrix and flows</t>
        </is>
      </c>
      <c r="B109" s="5" t="inlineStr">
        <is>
          <t>PERM-2FA</t>
        </is>
      </c>
      <c r="C109" s="5" t="inlineStr">
        <is>
          <t>Permission-gated invoices + two-factor authentication for staff</t>
        </is>
      </c>
      <c r="D109" s="5" t="inlineStr">
        <is>
          <t>⬜</t>
        </is>
      </c>
      <c r="E109" s="5" t="inlineStr">
        <is>
          <t>backend/app/Http/Middleware/EnsureHasAdminPermission.php</t>
        </is>
      </c>
      <c r="F109" s="5" t="inlineStr">
        <is>
          <t>No 2FA; invoices are owner-only (role.owner) with no staff permissions on them</t>
        </is>
      </c>
    </row>
    <row r="110">
      <c r="A110" s="5" t="inlineStr">
        <is>
          <t>§6 — Permissions matrix and flows</t>
        </is>
      </c>
      <c r="B110" s="5" t="inlineStr">
        <is>
          <t>PERM-ADMIN</t>
        </is>
      </c>
      <c r="C110" s="5" t="inlineStr">
        <is>
          <t>Fine-grained admin permissions</t>
        </is>
      </c>
      <c r="D110" s="5" t="inlineStr">
        <is>
          <t>✅</t>
        </is>
      </c>
      <c r="E110" s="5" t="inlineStr">
        <is>
          <t>backend/app/Services/Admin/AdminManagementService.php, frontend/src/lib/admin-guard.ts, backend/database/seeders/AdminPermissionSeeder.php</t>
        </is>
      </c>
      <c r="F110" s="5" t="inlineStr">
        <is>
          <t>7 permissions (can.permission:); no UR/claims approval permission</t>
        </is>
      </c>
    </row>
    <row r="111">
      <c r="A111" s="5" t="inlineStr">
        <is>
          <t>§6 — Permissions matrix and flows</t>
        </is>
      </c>
      <c r="B111" s="5" t="inlineStr">
        <is>
          <t>PERM-RESET</t>
        </is>
      </c>
      <c r="C111" s="5" t="inlineStr">
        <is>
          <t>Workspace reset (data deletion)</t>
        </is>
      </c>
      <c r="D111" s="5" t="inlineStr">
        <is>
          <t>⬜</t>
        </is>
      </c>
      <c r="E111" s="5" t="inlineStr">
        <is>
          <t>—</t>
        </is>
      </c>
      <c r="F111" s="5" t="inlineStr">
        <is>
          <t>Does not exist (only seat/resource deletion exists)</t>
        </is>
      </c>
    </row>
    <row r="112">
      <c r="A112" s="5" t="inlineStr">
        <is>
          <t>§6 — Permissions matrix and flows</t>
        </is>
      </c>
      <c r="B112" s="5" t="inlineStr">
        <is>
          <t>FLOW-UR</t>
        </is>
      </c>
      <c r="C112" s="5" t="inlineStr">
        <is>
          <t>Main flow: connection → attendance → justification → close → approval → claim</t>
        </is>
      </c>
      <c r="D112" s="5" t="inlineStr">
        <is>
          <t>⬜</t>
        </is>
      </c>
      <c r="E112" s="5" t="inlineStr">
        <is>
          <t>—</t>
        </is>
      </c>
      <c r="F112" s="5" t="inlineStr">
        <is>
          <t>The entire chain is new</t>
        </is>
      </c>
    </row>
    <row r="113">
      <c r="A113" s="5" t="inlineStr">
        <is>
          <t>§6 — Permissions matrix and flows</t>
        </is>
      </c>
      <c r="B113" s="5" t="inlineStr">
        <is>
          <t>FLOW-1</t>
        </is>
      </c>
      <c r="C113" s="5" t="inlineStr">
        <is>
          <t>Membership request → approval → subscriber, contract, and plan</t>
        </is>
      </c>
      <c r="D113" s="5" t="inlineStr">
        <is>
          <t>🟨</t>
        </is>
      </c>
      <c r="E113" s="5" t="inlineStr">
        <is>
          <t>backend/app/Services/BookingService.php, backend/app/Http/Controllers/BookingRequestController.php</t>
        </is>
      </c>
      <c r="F113" s="5" t="inlineStr">
        <is>
          <t>Approval creates a subscription + invoice + seat assignment + notification + Webhook; the applicant must be registered; no contract</t>
        </is>
      </c>
    </row>
    <row r="114">
      <c r="A114" s="5" t="inlineStr">
        <is>
          <t>§6 — Permissions matrix and flows</t>
        </is>
      </c>
      <c r="B114" s="5" t="inlineStr">
        <is>
          <t>FLOW-2</t>
        </is>
      </c>
      <c r="C114" s="5" t="inlineStr">
        <is>
          <t>Convert a live visitor into a subscriber</t>
        </is>
      </c>
      <c r="D114" s="5" t="inlineStr">
        <is>
          <t>⬜</t>
        </is>
      </c>
      <c r="E114" s="5" t="inlineStr">
        <is>
          <t>—</t>
        </is>
      </c>
      <c r="F114" s="5" t="inlineStr">
        <is>
          <t>Requires Live visitors</t>
        </is>
      </c>
    </row>
    <row r="115">
      <c r="A115" s="5" t="inlineStr">
        <is>
          <t>§6 — Permissions matrix and flows</t>
        </is>
      </c>
      <c r="B115" s="5" t="inlineStr">
        <is>
          <t>FLOW-3</t>
        </is>
      </c>
      <c r="C115" s="5" t="inlineStr">
        <is>
          <t>Billing cycle: unbilled charges → drafts → issue → receipt → credit note</t>
        </is>
      </c>
      <c r="D115" s="5" t="inlineStr">
        <is>
          <t>🟨</t>
        </is>
      </c>
      <c r="E115" s="5" t="inlineStr">
        <is>
          <t>backend/app/Services/InvoiceService.php, backend/app/Console/Commands/GenerateMonthlyInvoices.php, backend/app/Models/InvoicePayment.php</t>
        </is>
      </c>
      <c r="F115" s="5" t="inlineStr">
        <is>
          <t>Automatic monthly invoices + partial payments + uploaded-receipt review + reminder/overdue; no unbilled charges, no separate draft/issue, no standalone receipt, and no credit note (refunds in POS only: backend/app/Services/Pos/PosOrderService.php)</t>
        </is>
      </c>
    </row>
    <row r="116">
      <c r="A116" s="5" t="inlineStr">
        <is>
          <t>§6 — Permissions matrix and flows</t>
        </is>
      </c>
      <c r="B116" s="5" t="inlineStr">
        <is>
          <t>FLOW-4</t>
        </is>
      </c>
      <c r="C116" s="5" t="inlineStr">
        <is>
          <t>Contract lifecycle draft→active→suspended↔active→expired/cancelled + 14-day alert</t>
        </is>
      </c>
      <c r="D116" s="5" t="inlineStr">
        <is>
          <t>🟨</t>
        </is>
      </c>
      <c r="E116" s="5" t="inlineStr">
        <is>
          <t>backend/app/Enums/SubscriptionStatus.php, backend/app/Services/MemberService.php (updateStatus)</t>
        </is>
      </c>
      <c r="F116" s="5" t="inlineStr">
        <is>
          <t>Similar subscription statuses without draft and without strict transitions; 3-day alert</t>
        </is>
      </c>
    </row>
    <row r="117">
      <c r="A117" s="5" t="inlineStr">
        <is>
          <t>§6 — Permissions matrix and flows</t>
        </is>
      </c>
      <c r="B117" s="5" t="inlineStr">
        <is>
          <t>FLOW-5</t>
        </is>
      </c>
      <c r="C117" s="5" t="inlineStr">
        <is>
          <t>Parameter change: request → admin approval → recompute Tmax/UR</t>
        </is>
      </c>
      <c r="D117" s="5" t="inlineStr">
        <is>
          <t>⬜</t>
        </is>
      </c>
      <c r="E117" s="5" t="inlineStr">
        <is>
          <t>—</t>
        </is>
      </c>
      <c r="F117" s="5" t="inlineStr">
        <is>
          <t>New (change-request workflow)</t>
        </is>
      </c>
    </row>
    <row r="118">
      <c r="A118" s="5" t="inlineStr">
        <is>
          <t>§7.1 — Non-functional requirements</t>
        </is>
      </c>
      <c r="B118" s="5" t="inlineStr">
        <is>
          <t>NFR-SEC</t>
        </is>
      </c>
      <c r="C118" s="5" t="inlineStr">
        <is>
          <t>2FA, secure API key, fine-grained permissions</t>
        </is>
      </c>
      <c r="D118" s="5" t="inlineStr">
        <is>
          <t>🟨</t>
        </is>
      </c>
      <c r="E118" s="5" t="inlineStr">
        <is>
          <t>backend/app/Http/Middleware/AuthenticatePartner.php, backend/app/Models/PartnerClient.php, backend/app/Http/Middleware/EnsureHasAdminPermission.php</t>
        </is>
      </c>
      <c r="F118" s="5" t="inlineStr">
        <is>
          <t>API key is hashed (api_key_hash) and sent in X-Api-Key; Sanctum + Spatie permissions; throttling on routes; no 2FA; the internet password is stored encrypted (internet_password_enc)</t>
        </is>
      </c>
    </row>
    <row r="119">
      <c r="A119" s="5" t="inlineStr">
        <is>
          <t>§7.1 — Non-functional requirements</t>
        </is>
      </c>
      <c r="B119" s="5" t="inlineStr">
        <is>
          <t>NFR-INTEG</t>
        </is>
      </c>
      <c r="C119" s="5" t="inlineStr">
        <is>
          <t>Atomic import without duplicates; freezing of invoice/claim/tax; fixed codes</t>
        </is>
      </c>
      <c r="D119" s="5" t="inlineStr">
        <is>
          <t>🟨</t>
        </is>
      </c>
      <c r="E119" s="5" t="inlineStr">
        <is>
          <t>backend/app/Services/OwnerSubscriptionService.php (DB::transaction), backend/app/Models/Invoice.php (invoice_number unique), backend/app/Models/PosProduct.php (sku)</t>
        </is>
      </c>
      <c r="F119" s="5" t="inlineStr">
        <is>
          <t>DB transactions, unique invoice numbering, and product SKUs; no XLSX import, no tax and no explicit freeze after issuance, no claims</t>
        </is>
      </c>
    </row>
    <row r="120">
      <c r="A120" s="5" t="inlineStr">
        <is>
          <t>§7.1 — Non-functional requirements</t>
        </is>
      </c>
      <c r="B120" s="5" t="inlineStr">
        <is>
          <t>NFR-AUDIT</t>
        </is>
      </c>
      <c r="C120" s="5" t="inlineStr">
        <is>
          <t>Financial log with 17 actions, governance log, renewal log, reason for every override</t>
        </is>
      </c>
      <c r="D120" s="5" t="inlineStr">
        <is>
          <t>⬜</t>
        </is>
      </c>
      <c r="E120" s="5" t="inlineStr">
        <is>
          <t>backend/app/Models/PosStockMovement.php (stock movements log only)</t>
        </is>
      </c>
      <c r="F120" s="5" t="inlineStr">
        <is>
          <t>No general Audit Log, no renewal log, and no governance log</t>
        </is>
      </c>
    </row>
    <row r="121">
      <c r="A121" s="5" t="inlineStr">
        <is>
          <t>§7.1 — Non-functional requirements</t>
        </is>
      </c>
      <c r="B121" s="5" t="inlineStr">
        <is>
          <t>NFR-PERF</t>
        </is>
      </c>
      <c r="C121" s="5" t="inlineStr">
        <is>
          <t>Live monitor refresh every 30s, router snapshots, manual recompute</t>
        </is>
      </c>
      <c r="D121" s="5" t="inlineStr">
        <is>
          <t>🟨</t>
        </is>
      </c>
      <c r="E121" s="5" t="inlineStr">
        <is>
          <t>backend/routes/console.php (scheduling of invoices/notifications/queue every minute)</t>
        </is>
      </c>
      <c r="F121" s="5" t="inlineStr">
        <is>
          <t>No live monitor and no snapshots; scheduled tasks and the DB queue exist</t>
        </is>
      </c>
    </row>
    <row r="122">
      <c r="A122" s="5" t="inlineStr">
        <is>
          <t>§7.1 — Non-functional requirements</t>
        </is>
      </c>
      <c r="B122" s="5" t="inlineStr">
        <is>
          <t>NFR-I18N</t>
        </is>
      </c>
      <c r="C122" s="5" t="inlineStr">
        <is>
          <t>Arabic RTL interface, bilingual public site, 16 timezones and 8 currencies</t>
        </is>
      </c>
      <c r="D122" s="5" t="inlineStr">
        <is>
          <t>🟨</t>
        </is>
      </c>
      <c r="E122" s="5" t="inlineStr">
        <is>
          <t>frontend/src/messages/ar.json, frontend/src/messages/en.json, backend/app/Http/Middleware/SetLocale.php</t>
        </is>
      </c>
      <c r="F122" s="5" t="inlineStr">
        <is>
          <t>Arabic/English RTL exists; no per-workspace timezone or currency setting (no currency/timezone fields on Workspace)</t>
        </is>
      </c>
    </row>
    <row r="123">
      <c r="A123" s="5" t="inlineStr">
        <is>
          <t>§7.1 — Non-functional requirements</t>
        </is>
      </c>
      <c r="B123" s="5" t="inlineStr">
        <is>
          <t>NFR-UX</t>
        </is>
      </c>
      <c r="C123" s="5" t="inlineStr">
        <is>
          <t>Keyboard shortcuts, empty states, confirmation before deletion</t>
        </is>
      </c>
      <c r="D123" s="5" t="inlineStr">
        <is>
          <t>🟨</t>
        </is>
      </c>
      <c r="E123" s="5" t="inlineStr">
        <is>
          <t>frontend/src/components/features/owner/SeatBoard.tsx, frontend/src/components/layout/DashShell.tsx</t>
        </is>
      </c>
      <c r="F123" s="5" t="inlineStr">
        <is>
          <t>Confirmations and empty states exist in the components; no global keyboard shortcuts (Alt+S, etc.)</t>
        </is>
      </c>
    </row>
    <row r="124">
      <c r="A124" s="5" t="inlineStr">
        <is>
          <t>§7.1 — Non-functional requirements</t>
        </is>
      </c>
      <c r="B124" s="5" t="inlineStr">
        <is>
          <t>NFR-INT</t>
        </is>
      </c>
      <c r="C124" s="5" t="inlineStr">
        <is>
          <t>MikroTik, PDF/Word/Excel/CSV/JSON export, XLSX import</t>
        </is>
      </c>
      <c r="D124" s="5" t="inlineStr">
        <is>
          <t>🟨</t>
        </is>
      </c>
      <c r="E124" s="5" t="inlineStr">
        <is>
          <t>backend/app/Services/Admin/ExportService.php, backend/app/Services/InvoicePdfService.php, backend/app/Services/Partner/WebhookDispatcher.php</t>
        </is>
      </c>
      <c r="F124" s="5" t="inlineStr">
        <is>
          <t>CSV (invoices/members/expenses + admin), invoice PDF (mPDF), and partner Webhook; no MikroTik, no Word/Excel/JSON, and no XLSX import (no PhpSpreadsheet in backend/composer.json)</t>
        </is>
      </c>
    </row>
    <row r="125">
      <c r="A125" s="5" t="inlineStr">
        <is>
          <t>§7.2 — Data model</t>
        </is>
      </c>
      <c r="B125" s="5" t="inlineStr">
        <is>
          <t>ENT-Workspace</t>
        </is>
      </c>
      <c r="C125" s="5" t="inlineStr">
        <is>
          <t>Slug, code, plan, status, capacity, working hours/days, currency, bank</t>
        </is>
      </c>
      <c r="D125" s="5" t="inlineStr">
        <is>
          <t>🟨</t>
        </is>
      </c>
      <c r="E125" s="5" t="inlineStr">
        <is>
          <t>backend/app/Models/Workspace.php, backend/database/migrations/2026_06_02_110001_create_core_business_tables.php</t>
        </is>
      </c>
      <c r="F125" s="5" t="inlineStr">
        <is>
          <t>Existing: status, total_seats, working_hours JSON, city, logo; missing: slug, plan, currency, timezone, bank, capacity in hours</t>
        </is>
      </c>
    </row>
    <row r="126">
      <c r="A126" s="5" t="inlineStr">
        <is>
          <t>§7.2 — Data model</t>
        </is>
      </c>
      <c r="B126" s="5" t="inlineStr">
        <is>
          <t>ENT-Subscriber</t>
        </is>
      </c>
      <c r="C126" s="5" t="inlineStr">
        <is>
          <t>Phone, MikroTik username, type, status, gender, education, specialization, occupation, loyalty, strength</t>
        </is>
      </c>
      <c r="D126" s="5" t="inlineStr">
        <is>
          <t>🟨</t>
        </is>
      </c>
      <c r="E126" s="5" t="inlineStr">
        <is>
          <t>backend/app/Models/User.php, backend/app/Models/Subscription.php</t>
        </is>
      </c>
      <c r="F126" s="5" t="inlineStr">
        <is>
          <t>Subscriber = User (role freelancer) + Subscription (no separate table); missing: education, employment status, loyalty/strength scores, MikroTik username on the user</t>
        </is>
      </c>
    </row>
    <row r="127">
      <c r="A127" s="5" t="inlineStr">
        <is>
          <t>§7.2 — Data model</t>
        </is>
      </c>
      <c r="B127" s="5" t="inlineStr">
        <is>
          <t>ENT-Device</t>
        </is>
      </c>
      <c r="C127" s="5" t="inlineStr">
        <is>
          <t>MAC, IP, sessions, download/upload, last seen (snapshot)</t>
        </is>
      </c>
      <c r="D127" s="5" t="inlineStr">
        <is>
          <t>⬜</t>
        </is>
      </c>
      <c r="E127" s="5" t="inlineStr">
        <is>
          <t>backend/app/Models/DeviceToken.php (Push token, not a network device)</t>
        </is>
      </c>
      <c r="F127" s="5" t="inlineStr">
        <is>
          <t>New</t>
        </is>
      </c>
    </row>
    <row r="128">
      <c r="A128" s="5" t="inlineStr">
        <is>
          <t>§7.2 — Data model</t>
        </is>
      </c>
      <c r="B128" s="5" t="inlineStr">
        <is>
          <t>ENT-Contract</t>
        </is>
      </c>
      <c r="C128" s="5" t="inlineStr">
        <is>
          <t>Type, start, duration, grace, renewal, station, hours, attendance status</t>
        </is>
      </c>
      <c r="D128" s="5" t="inlineStr">
        <is>
          <t>🟨</t>
        </is>
      </c>
      <c r="E128" s="5" t="inlineStr">
        <is>
          <t>backend/app/Models/Subscription.php, backend/app/Models/BookingRequest.php</t>
        </is>
      </c>
      <c r="F128" s="5" t="inlineStr">
        <is>
          <t>Subscription covers type/start/end/seat; missing: grace, auto-renewal, hours, attendance; no bookings table (Booking)</t>
        </is>
      </c>
    </row>
    <row r="129">
      <c r="A129" s="5" t="inlineStr">
        <is>
          <t>§7.2 — Data model</t>
        </is>
      </c>
      <c r="B129" s="5" t="inlineStr">
        <is>
          <t>ENT-RosterEntry</t>
        </is>
      </c>
      <c r="C129" s="5" t="inlineStr">
        <is>
          <t>Month, type, units, hours, Gift Hours</t>
        </is>
      </c>
      <c r="D129" s="5" t="inlineStr">
        <is>
          <t>⬜</t>
        </is>
      </c>
      <c r="E129" s="5" t="inlineStr">
        <is>
          <t>—</t>
        </is>
      </c>
      <c r="F129" s="5" t="inlineStr">
        <is>
          <t>New</t>
        </is>
      </c>
    </row>
    <row r="130">
      <c r="A130" s="5" t="inlineStr">
        <is>
          <t>§7.2 — Data model</t>
        </is>
      </c>
      <c r="B130" s="5" t="inlineStr">
        <is>
          <t>ENT-UTRRecord</t>
        </is>
      </c>
      <c r="C130" s="5" t="inlineStr">
        <is>
          <t>Contracted, actual, AR%, C, Locked Hours, justification, approval</t>
        </is>
      </c>
      <c r="D130" s="5" t="inlineStr">
        <is>
          <t>⬜</t>
        </is>
      </c>
      <c r="E130" s="5" t="inlineStr">
        <is>
          <t>—</t>
        </is>
      </c>
      <c r="F130" s="5" t="inlineStr">
        <is>
          <t>New</t>
        </is>
      </c>
    </row>
    <row r="131">
      <c r="A131" s="5" t="inlineStr">
        <is>
          <t>§7.2 — Data model</t>
        </is>
      </c>
      <c r="B131" s="5" t="inlineStr">
        <is>
          <t>ENT-PlanItemCategory</t>
        </is>
      </c>
      <c r="C131" s="5" t="inlineStr">
        <is>
          <t>Pricing method, price, unit, fixed code</t>
        </is>
      </c>
      <c r="D131" s="5" t="inlineStr">
        <is>
          <t>🟨</t>
        </is>
      </c>
      <c r="E131" s="5" t="inlineStr">
        <is>
          <t>backend/app/Models/InternetPackage.php, backend/app/Models/SeatTypePrice.php, backend/app/Models/PosProduct.php</t>
        </is>
      </c>
      <c r="F131" s="5" t="inlineStr">
        <is>
          <t>Internet packages, seat-type prices, and POS products (sku + free-text category); no unified plan/item/category entity with a fixed code and no unit/pricing method</t>
        </is>
      </c>
    </row>
    <row r="132">
      <c r="A132" s="5" t="inlineStr">
        <is>
          <t>§7.2 — Data model</t>
        </is>
      </c>
      <c r="B132" s="5" t="inlineStr">
        <is>
          <t>ENT-Billing</t>
        </is>
      </c>
      <c r="C132" s="5" t="inlineStr">
        <is>
          <t>Invoice, receipt, credit note, payment voucher, expense</t>
        </is>
      </c>
      <c r="D132" s="5" t="inlineStr">
        <is>
          <t>🟨</t>
        </is>
      </c>
      <c r="E132" s="5" t="inlineStr">
        <is>
          <t>backend/app/Models/Invoice.php, backend/app/Models/InvoicePayment.php, backend/app/Models/Expense.php</t>
        </is>
      </c>
      <c r="F132" s="5" t="inlineStr">
        <is>
          <t>Invoice + payments (≈ receipt) + expense + PosPayment (backend/app/Models/PosPayment.php) for refunds; missing: credit note, payment voucher, organization linkage</t>
        </is>
      </c>
    </row>
    <row r="133">
      <c r="A133" s="5" t="inlineStr">
        <is>
          <t>§7.2 — Data model</t>
        </is>
      </c>
      <c r="B133" s="5" t="inlineStr">
        <is>
          <t>ENT-Organization</t>
        </is>
      </c>
      <c r="C133" s="5" t="inlineStr">
        <is>
          <t>Name, tax number, contact</t>
        </is>
      </c>
      <c r="D133" s="5" t="inlineStr">
        <is>
          <t>⬜</t>
        </is>
      </c>
      <c r="E133" s="5" t="inlineStr">
        <is>
          <t>—</t>
        </is>
      </c>
      <c r="F133" s="5" t="inlineStr">
        <is>
          <t>New (no companies paying a consolidated invoice)</t>
        </is>
      </c>
    </row>
    <row r="134">
      <c r="A134" s="5" t="inlineStr">
        <is>
          <t>§7.2 — Data model</t>
        </is>
      </c>
      <c r="B134" s="5" t="inlineStr">
        <is>
          <t>ENT-StationLocation</t>
        </is>
      </c>
      <c r="C134" s="5" t="inlineStr">
        <is>
          <t>Number, type, zone, capacity, privacy, branch</t>
        </is>
      </c>
      <c r="D134" s="5" t="inlineStr">
        <is>
          <t>🟨</t>
        </is>
      </c>
      <c r="E134" s="5" t="inlineStr">
        <is>
          <t>backend/app/Models/Seat.php, backend/app/Models/Resource.php, backend/app/Enums/SeatType.php</t>
        </is>
      </c>
      <c r="F134" s="5" t="inlineStr">
        <is>
          <t>Seat (number, type fixed/flexible/private_office, status) and Resource; missing: zone, capacity, privacy, branch</t>
        </is>
      </c>
    </row>
    <row r="135">
      <c r="A135" s="5" t="inlineStr">
        <is>
          <t>§7.2 — Data model</t>
        </is>
      </c>
      <c r="B135" s="5" t="inlineStr">
        <is>
          <t>ENT-ProgramAgreementClaim</t>
        </is>
      </c>
      <c r="C135" s="5" t="inlineStr">
        <is>
          <t>Donor, seats, price, period, funding type, governance</t>
        </is>
      </c>
      <c r="D135" s="5" t="inlineStr">
        <is>
          <t>⬜</t>
        </is>
      </c>
      <c r="E135" s="5" t="inlineStr">
        <is>
          <t>—</t>
        </is>
      </c>
      <c r="F135" s="5" t="inlineStr">
        <is>
          <t>New</t>
        </is>
      </c>
    </row>
    <row r="136">
      <c r="A136" s="5" t="inlineStr">
        <is>
          <t>§7.2 — Data model</t>
        </is>
      </c>
      <c r="B136" s="5" t="inlineStr">
        <is>
          <t>ENT-AlertRule</t>
        </is>
      </c>
      <c r="C136" s="5" t="inlineStr">
        <is>
          <t>Type, severity, threshold, cooldown, channels</t>
        </is>
      </c>
      <c r="D136" s="5" t="inlineStr">
        <is>
          <t>🟨</t>
        </is>
      </c>
      <c r="E136" s="5" t="inlineStr">
        <is>
          <t>backend/app/Notifications/SubscriptionExpiringNotification.php, backend/app/Services/Messaging/BroadcastService.php, backend/app/Services/NavActionCountService.php</t>
        </is>
      </c>
      <c r="F136" s="5" t="inlineStr">
        <is>
          <t>Hard-coded notifications (DB/Push/Email/SMS) with no rules table; no thresholds/cooldown/severity</t>
        </is>
      </c>
    </row>
    <row r="137">
      <c r="A137" s="5" t="inlineStr">
        <is>
          <t>§7.2 — Data model</t>
        </is>
      </c>
      <c r="B137" s="5" t="inlineStr">
        <is>
          <t>ENT-ParameterHoliday</t>
        </is>
      </c>
      <c r="C137" s="5" t="inlineStr">
        <is>
          <t>The 32 parameters, dates, request status</t>
        </is>
      </c>
      <c r="D137" s="5" t="inlineStr">
        <is>
          <t>⬜</t>
        </is>
      </c>
      <c r="E137" s="5" t="inlineStr">
        <is>
          <t>backend/app/Models/SiteSetting.php (generic key/value)</t>
        </is>
      </c>
      <c r="F137" s="5" t="inlineStr">
        <is>
          <t>New</t>
        </is>
      </c>
    </row>
  </sheetData>
  <autoFilter ref="A1:F13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6" customWidth="1" min="1" max="1"/>
    <col width="45" customWidth="1" min="2" max="2"/>
    <col width="35" customWidth="1" min="3" max="3"/>
    <col width="12" customWidth="1" min="4" max="4"/>
    <col width="70" customWidth="1" min="5" max="5"/>
  </cols>
  <sheetData>
    <row r="1">
      <c r="A1" s="4" t="inlineStr">
        <is>
          <t>#</t>
        </is>
      </c>
      <c r="B1" s="4" t="inlineStr">
        <is>
          <t>Risk</t>
        </is>
      </c>
      <c r="C1" s="4" t="inlineStr">
        <is>
          <t>Impact</t>
        </is>
      </c>
      <c r="D1" s="4" t="inlineStr">
        <is>
          <t>Likelihood</t>
        </is>
      </c>
      <c r="E1" s="4" t="inlineStr">
        <is>
          <t>Mitigation</t>
        </is>
      </c>
    </row>
    <row r="2">
      <c r="A2" s="5" t="inlineStr">
        <is>
          <t>R1</t>
        </is>
      </c>
      <c r="B2" s="5" t="inlineStr">
        <is>
          <t>Delay in provisioning the VPS and moving deployment</t>
        </is>
      </c>
      <c r="C2" s="5" t="inlineStr">
        <is>
          <t>Delays M2 and everything after it</t>
        </is>
      </c>
      <c r="D2" s="5" t="inlineStr">
        <is>
          <t>Medium</t>
        </is>
      </c>
      <c r="E2" s="5" t="inlineStr">
        <is>
          <t>Starts in M0, and the sync.taqat.space domain is fixed from day one, so routers are never reinstalled</t>
        </is>
      </c>
    </row>
    <row r="3">
      <c r="A3" s="5" t="inlineStr">
        <is>
          <t>R2</t>
        </is>
      </c>
      <c r="B3" s="5" t="inlineStr">
        <is>
          <t>Differences in RouterOS versions and router capabilities</t>
        </is>
      </c>
      <c r="C3" s="5" t="inlineStr">
        <is>
          <t>Install or capture failures</t>
        </is>
      </c>
      <c r="D3" s="5" t="inlineStr">
        <is>
          <t>Medium</t>
        </is>
      </c>
      <c r="E3" s="5" t="inlineStr">
        <is>
          <t>CHR + a test matrix for 7.12+ versions and the actual models</t>
        </is>
      </c>
    </row>
    <row r="4">
      <c r="A4" s="5" t="inlineStr">
        <is>
          <t>R3</t>
        </is>
      </c>
      <c r="B4" s="5" t="inlineStr">
        <is>
          <t>Power and internet outages in Gaza</t>
        </is>
      </c>
      <c r="C4" s="5" t="inlineStr">
        <is>
          <t>Attendance gaps that affect UR</t>
        </is>
      </c>
      <c r="D4" s="5" t="inlineStr">
        <is>
          <t>High</t>
        </is>
      </c>
      <c r="E4" s="5" t="inlineStr">
        <is>
          <t>Persistent seq, flash buffer, clock-skew correction, flagging gap days in UTR</t>
        </is>
      </c>
    </row>
    <row r="5">
      <c r="A5" s="5" t="inlineStr">
        <is>
          <t>R4</t>
        </is>
      </c>
      <c r="B5" s="5" t="inlineStr">
        <is>
          <t>Usernames shared between people</t>
        </is>
      </c>
      <c r="C5" s="5" t="inlineStr">
        <is>
          <t>Mixed attendance and incorrect funding</t>
        </is>
      </c>
      <c r="D5" s="5" t="inlineStr">
        <is>
          <t>High</t>
        </is>
      </c>
      <c r="E5" s="5" t="inlineStr">
        <is>
          <t>Guest self-registration + shared-users=1 + split-by-MAC tool</t>
        </is>
      </c>
    </row>
    <row r="6">
      <c r="A6" s="5" t="inlineStr">
        <is>
          <t>R5</t>
        </is>
      </c>
      <c r="B6" s="5" t="inlineStr">
        <is>
          <t>Router executing the response text</t>
        </is>
      </c>
      <c r="C6" s="5" t="inlineStr">
        <is>
          <t>Server compromise = control over the routers</t>
        </is>
      </c>
      <c r="D6" s="5" t="inlineStr">
        <is>
          <t>Low/Critical</t>
        </is>
      </c>
      <c r="E6" s="5" t="inlineStr">
        <is>
          <t>Allowlisted command set interpreted by the script from M2 onward (not deferred to hardening)</t>
        </is>
      </c>
    </row>
    <row r="7">
      <c r="A7" s="5" t="inlineStr">
        <is>
          <t>R6</t>
        </is>
      </c>
      <c r="B7" s="5" t="inlineStr">
        <is>
          <t>UR formula accuracy versus the current system</t>
        </is>
      </c>
      <c r="C7" s="5" t="inlineStr">
        <is>
          <t>Donor rejects the reports</t>
        </is>
      </c>
      <c r="D7" s="5" t="inlineStr">
        <is>
          <t>Medium</t>
        </is>
      </c>
      <c r="E7" s="5" t="inlineStr">
        <is>
          <t>Pure test-first calculator + golden tests + comparison of parallel-run months</t>
        </is>
      </c>
    </row>
    <row r="8">
      <c r="A8" s="5" t="inlineStr">
        <is>
          <t>R7</t>
        </is>
      </c>
      <c r="B8" s="5" t="inlineStr">
        <is>
          <t>Conflict between the two scripts during the parallel run (one on-login hook per profile)</t>
        </is>
      </c>
      <c r="C8" s="5" t="inlineStr">
        <is>
          <t>Breaks the CoWorkSpaces script</t>
        </is>
      </c>
      <c r="D8" s="5" t="inlineStr">
        <is>
          <t>Medium</t>
        </is>
      </c>
      <c r="E8" s="5" t="inlineStr">
        <is>
          <t>"Poll-only" mode for our script without touching their hooks until cutover in M13</t>
        </is>
      </c>
    </row>
    <row r="9">
      <c r="A9" s="5" t="inlineStr">
        <is>
          <t>R8</t>
        </is>
      </c>
      <c r="B9" s="5" t="inlineStr">
        <is>
          <t>Incomplete CoWorkSpaces export (no raw sessions)</t>
        </is>
      </c>
      <c r="C9" s="5" t="inlineStr">
        <is>
          <t>Harder reconciliation testing</t>
        </is>
      </c>
      <c r="D9" s="5" t="inlineStr">
        <is>
          <t>Medium</t>
        </is>
      </c>
      <c r="E9" s="5" t="inlineStr">
        <is>
          <t>Reconciliation at the UTR and totals level + parallel-run data</t>
        </is>
      </c>
    </row>
    <row r="10">
      <c r="A10" s="5" t="inlineStr">
        <is>
          <t>R9</t>
        </is>
      </c>
      <c r="B10" s="5" t="inlineStr">
        <is>
          <t>Finance v2 breaks existing invoices/POS/tests</t>
        </is>
      </c>
      <c r="C10" s="5" t="inlineStr">
        <is>
          <t>Regression in production</t>
        </is>
      </c>
      <c r="D10" s="5" t="inlineStr">
        <is>
          <t>Medium</t>
        </is>
      </c>
      <c r="E10" s="5" t="inlineStr">
        <is>
          <t>Additive changes only, per-workspace flag, legacy status sync, tested backfill</t>
        </is>
      </c>
    </row>
    <row r="11">
      <c r="A11" s="5" t="inlineStr">
        <is>
          <t>R10</t>
        </is>
      </c>
      <c r="B11" s="5" t="inlineStr">
        <is>
          <t>Single developer (capacity and key-person dependency)</t>
        </is>
      </c>
      <c r="C11" s="5" t="inlineStr">
        <is>
          <t>Delays and review backlog</t>
        </is>
      </c>
      <c r="D11" s="5" t="inlineStr">
        <is>
          <t>High</t>
        </is>
      </c>
      <c r="E11" s="5" t="inlineStr">
        <is>
          <t>Parallel agents in worktrees, the minimum switch-over path, re-estimation after M2</t>
        </is>
      </c>
    </row>
    <row r="12">
      <c r="A12" s="5" t="inlineStr">
        <is>
          <t>R11</t>
        </is>
      </c>
      <c r="B12" s="5" t="inlineStr">
        <is>
          <t>Personal data (MAC, sessions)</t>
        </is>
      </c>
      <c r="C12" s="5" t="inlineStr">
        <is>
          <t>Privacy risks</t>
        </is>
      </c>
      <c r="D12" s="5" t="inlineStr">
        <is>
          <t>Medium</t>
        </is>
      </c>
      <c r="E12" s="5" t="inlineStr">
        <is>
          <t>Retention policy (M12.8), access permissions, auditing</t>
        </is>
      </c>
    </row>
    <row r="13">
      <c r="A13" s="5" t="inlineStr">
        <is>
          <t>R12</t>
        </is>
      </c>
      <c r="B13" s="5" t="inlineStr">
        <is>
          <t>Appendix A (80 screens) not yet available</t>
        </is>
      </c>
      <c r="C13" s="5" t="inlineStr">
        <is>
          <t>Additional unestimated scope</t>
        </is>
      </c>
      <c r="D13" s="5" t="inlineStr">
        <is>
          <t>Medium</t>
        </is>
      </c>
      <c r="E13" s="5" t="inlineStr">
        <is>
          <t>Review it in M0 and update the sheet to v1.1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00" customWidth="1" min="3" max="3"/>
  </cols>
  <sheetData>
    <row r="1">
      <c r="A1" s="4" t="inlineStr">
        <is>
          <t>#</t>
        </is>
      </c>
      <c r="B1" s="4" t="inlineStr">
        <is>
          <t>Topic</t>
        </is>
      </c>
      <c r="C1" s="4" t="inlineStr">
        <is>
          <t>Decision</t>
        </is>
      </c>
    </row>
    <row r="2">
      <c r="A2" s="5" t="inlineStr">
        <is>
          <t>D1</t>
        </is>
      </c>
      <c r="B2" s="5" t="inlineStr">
        <is>
          <t>Direction</t>
        </is>
      </c>
      <c r="C2" s="5" t="inlineStr">
        <is>
          <t>Build on top of what exists: keep discovery/booking/chat/POS/SSO and add the operations layer</t>
        </is>
      </c>
    </row>
    <row r="3">
      <c r="A3" s="5" t="inlineStr">
        <is>
          <t>D2</t>
        </is>
      </c>
      <c r="B3" s="5" t="inlineStr">
        <is>
          <t>Finance</t>
        </is>
      </c>
      <c r="C3" s="5" t="inlineStr">
        <is>
          <t>Complete finance for the workspace owner with no payment gateway; plans are workspace-level pricing</t>
        </is>
      </c>
    </row>
    <row r="4">
      <c r="A4" s="5" t="inlineStr">
        <is>
          <t>D3</t>
        </is>
      </c>
      <c r="B4" s="5" t="inlineStr">
        <is>
          <t>Sign-in</t>
        </is>
      </c>
      <c r="C4" s="5" t="inlineStr">
        <is>
          <t>SSO + linking the MikroTik username; guest self-registration from the hotspot; no OTP</t>
        </is>
      </c>
    </row>
    <row r="5">
      <c r="A5" s="5" t="inlineStr">
        <is>
          <t>D4</t>
        </is>
      </c>
      <c r="B5" s="5" t="inlineStr">
        <is>
          <t>Team</t>
        </is>
      </c>
      <c r="C5" s="5" t="inlineStr">
        <is>
          <t>One developer + Claude; sequential phases with parallel agents within each phase</t>
        </is>
      </c>
    </row>
    <row r="6">
      <c r="A6" s="5" t="inlineStr">
        <is>
          <t>D5</t>
        </is>
      </c>
      <c r="B6" s="5" t="inlineStr">
        <is>
          <t>Hosting</t>
        </is>
      </c>
      <c r="C6" s="5" t="inlineStr">
        <is>
          <t>VPS before the first real router (2vCPU/4GB + Redis + Supervisor); sync.taqat.space</t>
        </is>
      </c>
    </row>
    <row r="7">
      <c r="A7" s="5" t="inlineStr">
        <is>
          <t>D6</t>
        </is>
      </c>
      <c r="B7" s="5" t="inlineStr">
        <is>
          <t>Data</t>
        </is>
      </c>
      <c r="C7" s="5" t="inlineStr">
        <is>
          <t>Parallel run on the TAQAT GAZA router after M2; migration via CSV/Excel export</t>
        </is>
      </c>
    </row>
    <row r="8">
      <c r="A8" s="5" t="inlineStr">
        <is>
          <t>D7</t>
        </is>
      </c>
      <c r="B8" s="5" t="inlineStr">
        <is>
          <t>Router integration</t>
        </is>
      </c>
      <c r="C8" s="5" t="inlineStr">
        <is>
          <t>PUSH model (the router sends) instead of the PULL model in DOCS/mikrotik-integration-plan.md</t>
        </is>
      </c>
    </row>
    <row r="9">
      <c r="A9" s="5" t="inlineStr">
        <is>
          <t>D8</t>
        </is>
      </c>
      <c r="B9" s="5" t="inlineStr">
        <is>
          <t>Contract</t>
        </is>
      </c>
      <c r="C9" s="5" t="inlineStr">
        <is>
          <t>Extend Subscription into the Contract instead of a new entity</t>
        </is>
      </c>
    </row>
    <row r="10">
      <c r="A10" s="5" t="inlineStr">
        <is>
          <t>D9</t>
        </is>
      </c>
      <c r="B10" s="5" t="inlineStr">
        <is>
          <t>Finance v2</t>
        </is>
      </c>
      <c r="C10" s="5" t="inlineStr">
        <is>
          <t>Additive, behind the finance_v2 flag, with legacy status sync</t>
        </is>
      </c>
    </row>
    <row r="11">
      <c r="A11" s="5" t="inlineStr">
        <is>
          <t>D10</t>
        </is>
      </c>
      <c r="B11" s="5" t="inlineStr">
        <is>
          <t>UR</t>
        </is>
      </c>
      <c r="C11" s="5" t="inlineStr">
        <is>
          <t>Pure UrCalculator with immutable parameter versions and frozen results</t>
        </is>
      </c>
    </row>
    <row r="12">
      <c r="A12" s="5" t="inlineStr">
        <is>
          <t>D11</t>
        </is>
      </c>
      <c r="B12" s="5" t="inlineStr">
        <is>
          <t>Shared components</t>
        </is>
      </c>
      <c r="C12" s="5" t="inlineStr">
        <is>
          <t>Custom shared components: audit_logs, approval_requests, TOTP, phpspreadsheet/phpword</t>
        </is>
      </c>
    </row>
    <row r="13">
      <c r="A13" s="5" t="inlineStr">
        <is>
          <t>D12</t>
        </is>
      </c>
      <c r="B13" s="5" t="inlineStr">
        <is>
          <t>Outputs</t>
        </is>
      </c>
      <c r="C13" s="5" t="inlineStr">
        <is>
          <t>Markdown + Excel in DOCS/new plan/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16" customWidth="1" min="3" max="3"/>
    <col width="50" customWidth="1" min="4" max="4"/>
  </cols>
  <sheetData>
    <row r="1">
      <c r="A1" s="4" t="inlineStr">
        <is>
          <t>#</t>
        </is>
      </c>
      <c r="B1" s="4" t="inlineStr">
        <is>
          <t>Question</t>
        </is>
      </c>
      <c r="C1" s="4" t="inlineStr">
        <is>
          <t>Affects</t>
        </is>
      </c>
      <c r="D1" s="4" t="inlineStr">
        <is>
          <t>Answer</t>
        </is>
      </c>
    </row>
    <row r="2">
      <c r="A2" s="5" t="n">
        <v>1</v>
      </c>
      <c r="B2" s="5" t="inlineStr">
        <is>
          <t>Super admin tiers: is there more than one tier (operator, financial auditor, donor representative)?</t>
        </is>
      </c>
      <c r="C2" s="5" t="inlineStr">
        <is>
          <t>M8</t>
        </is>
      </c>
      <c r="D2" s="13" t="inlineStr"/>
    </row>
    <row r="3">
      <c r="A3" s="5" t="n">
        <v>2</v>
      </c>
      <c r="B3" s="5" t="inlineStr">
        <is>
          <t>Does the freelancer see their hours weighted by factor C, or only the actual hours?</t>
        </is>
      </c>
      <c r="C3" s="5" t="inlineStr">
        <is>
          <t>M9.3</t>
        </is>
      </c>
      <c r="D3" s="13" t="inlineStr"/>
    </row>
    <row r="4">
      <c r="A4" s="5" t="n">
        <v>3</v>
      </c>
      <c r="B4" s="5" t="inlineStr">
        <is>
          <t>Tax: is it enabled for specific workspaces? At what rate?</t>
        </is>
      </c>
      <c r="C4" s="5" t="inlineStr">
        <is>
          <t>M5.14</t>
        </is>
      </c>
      <c r="D4" s="13" t="inlineStr"/>
    </row>
    <row r="5">
      <c r="A5" s="5" t="n">
        <v>4</v>
      </c>
      <c r="B5" s="5" t="inlineStr">
        <is>
          <t>Data retention (MAC, sessions) and deletion policy</t>
        </is>
      </c>
      <c r="C5" s="5" t="inlineStr">
        <is>
          <t>M12.8</t>
        </is>
      </c>
      <c r="D5" s="13" t="inlineStr"/>
    </row>
    <row r="6">
      <c r="A6" s="5" t="n">
        <v>5</v>
      </c>
      <c r="B6" s="5" t="inlineStr">
        <is>
          <t>Does the CoWorkSpaces export contain per-subscriber UTR and raw sessions?</t>
        </is>
      </c>
      <c r="C6" s="5" t="inlineStr">
        <is>
          <t>M6.1</t>
        </is>
      </c>
      <c r="D6" s="13" t="inlineStr"/>
    </row>
    <row r="7">
      <c r="A7" s="5" t="n">
        <v>6</v>
      </c>
      <c r="B7" s="5" t="inlineStr">
        <is>
          <t>Does TAQAT GAZA currently have more than one branch/router? What is the router model and RouterOS version?</t>
        </is>
      </c>
      <c r="C7" s="5" t="inlineStr">
        <is>
          <t>M1.2, M2.12</t>
        </is>
      </c>
      <c r="D7" s="13" t="inlineStr"/>
    </row>
    <row r="8">
      <c r="A8" s="5" t="n">
        <v>7</v>
      </c>
      <c r="B8" s="5" t="inlineStr">
        <is>
          <t>Platform plans for workspaces (free/paid): manual status tracking as in the current business model?</t>
        </is>
      </c>
      <c r="C8" s="5" t="inlineStr">
        <is>
          <t>M8.1</t>
        </is>
      </c>
      <c r="D8" s="1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2026-10-29T16:44:32Z</dcterms:created>
  <dcterms:modified xmlns:dcterms="http://purl.org/dc/terms/" xmlns:xsi="http://www.w3.org/2001/XMLSchema-instance" xsi:type="dcterms:W3CDTF">2026-10-29T16:44:33Z</dcterms:modified>
</cp:coreProperties>
</file>