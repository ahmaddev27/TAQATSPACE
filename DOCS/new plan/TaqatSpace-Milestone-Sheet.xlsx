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ummary" sheetId="2" state="visible" r:id="rId2"/>
    <sheet xmlns:r="http://schemas.openxmlformats.org/officeDocument/2006/relationships" name="Tasks" sheetId="3" state="visible" r:id="rId3"/>
    <sheet xmlns:r="http://schemas.openxmlformats.org/officeDocument/2006/relationships" name="By Type" sheetId="4" state="visible" r:id="rId4"/>
    <sheet xmlns:r="http://schemas.openxmlformats.org/officeDocument/2006/relationships" name="Gap Matrix" sheetId="5" state="visible" r:id="rId5"/>
    <sheet xmlns:r="http://schemas.openxmlformats.org/officeDocument/2006/relationships" name="Risks" sheetId="6" state="visible" r:id="rId6"/>
    <sheet xmlns:r="http://schemas.openxmlformats.org/officeDocument/2006/relationships" name="Decisions" sheetId="7" state="visible" r:id="rId7"/>
    <sheet xmlns:r="http://schemas.openxmlformats.org/officeDocument/2006/relationships" name="Open Questions" sheetId="8" state="visible" r:id="rId8"/>
  </sheets>
  <definedNames>
    <definedName name="_xlnm._FilterDatabase" localSheetId="2" hidden="1">'Tasks'!$A$1:$L$165</definedName>
    <definedName name="_xlnm._FilterDatabase" localSheetId="4" hidden="1">'Gap Matrix'!$A$1:$F$137</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name val="Arial"/>
      <b val="1"/>
      <sz val="12"/>
    </font>
    <font>
      <name val="Arial"/>
      <sz val="10"/>
    </font>
    <font>
      <name val="Arial"/>
      <b val="1"/>
      <sz val="10"/>
    </font>
    <font>
      <name val="Arial"/>
      <b val="1"/>
      <color rgb="00FFFFFF"/>
      <sz val="11"/>
    </font>
  </fonts>
  <fills count="4">
    <fill>
      <patternFill/>
    </fill>
    <fill>
      <patternFill patternType="gray125"/>
    </fill>
    <fill>
      <patternFill patternType="solid">
        <fgColor rgb="001F4E78"/>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applyAlignment="1" pivotButton="0" quotePrefix="0" xfId="0">
      <alignment horizontal="right" readingOrder="2"/>
    </xf>
    <xf numFmtId="0" fontId="2" fillId="0" borderId="0" applyAlignment="1" pivotButton="0" quotePrefix="0" xfId="0">
      <alignment horizontal="right" readingOrder="2"/>
    </xf>
    <xf numFmtId="0" fontId="3" fillId="0" borderId="0" applyAlignment="1" pivotButton="0" quotePrefix="0" xfId="0">
      <alignment horizontal="right" readingOrder="2"/>
    </xf>
    <xf numFmtId="0" fontId="4" fillId="2" borderId="1" applyAlignment="1" pivotButton="0" quotePrefix="0" xfId="0">
      <alignment horizontal="center" vertical="top" wrapText="1"/>
    </xf>
    <xf numFmtId="0" fontId="2" fillId="0" borderId="1" applyAlignment="1" pivotButton="0" quotePrefix="0" xfId="0">
      <alignment horizontal="right" vertical="top" wrapText="1" readingOrder="2"/>
    </xf>
    <xf numFmtId="2" fontId="2" fillId="0" borderId="1" applyAlignment="1" pivotButton="0" quotePrefix="0" xfId="0">
      <alignment horizontal="right" vertical="top" wrapText="1" readingOrder="2"/>
    </xf>
    <xf numFmtId="164" fontId="2" fillId="0" borderId="1" applyAlignment="1" pivotButton="0" quotePrefix="0" xfId="0">
      <alignment horizontal="right" vertical="top" wrapText="1" readingOrder="2"/>
    </xf>
    <xf numFmtId="9" fontId="2" fillId="0" borderId="1" applyAlignment="1" pivotButton="0" quotePrefix="0" xfId="0">
      <alignment horizontal="right" vertical="top" wrapText="1" readingOrder="2"/>
    </xf>
    <xf numFmtId="0" fontId="3" fillId="0" borderId="1" applyAlignment="1" pivotButton="0" quotePrefix="0" xfId="0">
      <alignment horizontal="right" vertical="top" wrapText="1" readingOrder="2"/>
    </xf>
    <xf numFmtId="2" fontId="3" fillId="0" borderId="1" applyAlignment="1" pivotButton="0" quotePrefix="0" xfId="0">
      <alignment horizontal="right" vertical="top" wrapText="1" readingOrder="2"/>
    </xf>
    <xf numFmtId="164" fontId="3" fillId="0" borderId="1" applyAlignment="1" pivotButton="0" quotePrefix="0" xfId="0">
      <alignment horizontal="right" vertical="top" wrapText="1" readingOrder="2"/>
    </xf>
    <xf numFmtId="9" fontId="3" fillId="0" borderId="1" applyAlignment="1" pivotButton="0" quotePrefix="0" xfId="0">
      <alignment horizontal="right" vertical="top" wrapText="1" readingOrder="2"/>
    </xf>
    <xf numFmtId="0" fontId="2" fillId="0" borderId="0" pivotButton="0" quotePrefix="0" xfId="0"/>
    <xf numFmtId="0" fontId="2" fillId="3" borderId="1" applyAlignment="1" pivotButton="0" quotePrefix="0" xfId="0">
      <alignment horizontal="right" vertical="top" wrapText="1" readingOrder="2"/>
    </xf>
    <xf numFmtId="0" fontId="2" fillId="0" borderId="1" pivotButton="0" quotePrefix="0" xfId="0"/>
    <xf numFmtId="2" fontId="2" fillId="0" borderId="1" pivotButton="0" quotePrefix="0" xfId="0"/>
    <xf numFmtId="9" fontId="2" fillId="0" borderId="1" pivotButton="0" quotePrefix="0" xfId="0"/>
  </cellXfs>
  <cellStyles count="1">
    <cellStyle name="Normal" xfId="0" builtinId="0" hidden="0"/>
  </cellStyles>
  <dxfs count="3">
    <dxf>
      <fill>
        <patternFill patternType="solid">
          <fgColor rgb="00C6EFCE"/>
        </patternFill>
      </fill>
    </dxf>
    <dxf>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rightToLeft="1" workbookViewId="0">
      <selection activeCell="A1" sqref="A1"/>
    </sheetView>
  </sheetViews>
  <sheetFormatPr baseColWidth="8" defaultRowHeight="15"/>
  <cols>
    <col width="110" customWidth="1" min="1" max="1"/>
  </cols>
  <sheetData>
    <row r="1">
      <c r="A1" s="1" t="inlineStr">
        <is>
          <t>TaqatSpace — Milestone Sheet (نسخة المتابعة)</t>
        </is>
      </c>
    </row>
    <row r="2">
      <c r="A2" s="2" t="inlineStr">
        <is>
          <t>الإصدار 1.0 — 29 أكتوبر 2026. المصدر: TaqatSpace-Milestone-Sheet.md (نفس البيانات).</t>
        </is>
      </c>
    </row>
    <row r="3">
      <c r="A3" s="2" t="inlineStr"/>
    </row>
    <row r="4">
      <c r="A4" s="3" t="inlineStr">
        <is>
          <t>طريقة الاستخدام:</t>
        </is>
      </c>
    </row>
    <row r="5">
      <c r="A5" s="2" t="inlineStr">
        <is>
          <t>1) في ورقة Tasks عدّل فقط الأعمدة المظللة بالأصفر: «الحالة» (قائمة منسدلة) و«الفرع» و«PR» و«ملاحظات».</t>
        </is>
      </c>
    </row>
    <row r="6">
      <c r="A6" s="2" t="inlineStr">
        <is>
          <t>2) ورقة Summary تحسب الجهد والمدة ونسبة الإنجاز تلقائيًا بالمعادلات — لا تكتب فيها يدويًا.</t>
        </is>
      </c>
    </row>
    <row r="7">
      <c r="A7" s="2" t="inlineStr">
        <is>
          <t>3) الجهد بأيام عمل لمطوّر واحد + Claude؛ المدة = الجهد ÷ 5 أيام.</t>
        </is>
      </c>
    </row>
    <row r="8">
      <c r="A8" s="2" t="inlineStr">
        <is>
          <t>4) «قابلة للتأجيل = نعم» تعني أن المهمة خارج المسار الأدنى للانتقال.</t>
        </is>
      </c>
    </row>
    <row r="9">
      <c r="A9" s="2" t="inlineStr"/>
    </row>
    <row r="10">
      <c r="A10" s="2" t="inlineStr">
        <is>
          <t>مثال لصف مكتمل: الحالة = «✅ مكتمل»، الفرع = feat/m2-mikrotik-sync، PR = #190.</t>
        </is>
      </c>
    </row>
    <row r="11">
      <c r="A11" s="2" t="inlineStr"/>
    </row>
    <row r="12">
      <c r="A12" s="2" t="inlineStr">
        <is>
          <t>مفتاح الحالة: ⬜ لم يبدأ · 🟨 قيد التنفيذ · ✅ مكتمل · ⛔ متوقف</t>
        </is>
      </c>
    </row>
    <row r="13">
      <c r="A13" s="2" t="inlineStr">
        <is>
          <t>مفتاح الوضع الحالي: جديد / توسعة (كود قائم يُبنى عليه) / موجود (ربط ومراجعة فقط)</t>
        </is>
      </c>
    </row>
    <row r="14">
      <c r="A14" s="2" t="inlineStr">
        <is>
          <t>مصدر التقديرات: تقدير أولي ±20% من فريق التطوير (2026-10-29)، يُعاد ضبطه بعد M2.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9"/>
  <sheetViews>
    <sheetView rightToLeft="1" workbookViewId="0">
      <pane ySplit="1" topLeftCell="A2" activePane="bottomLeft" state="frozen"/>
      <selection pane="bottomLeft" activeCell="A1" sqref="A1"/>
    </sheetView>
  </sheetViews>
  <sheetFormatPr baseColWidth="8" defaultRowHeight="15"/>
  <cols>
    <col width="6" customWidth="1" min="1" max="1"/>
    <col width="48" customWidth="1" min="2" max="2"/>
    <col width="14" customWidth="1" min="3" max="3"/>
    <col width="9" customWidth="1" min="4" max="4"/>
    <col width="12" customWidth="1" min="5" max="5"/>
    <col width="12" customWidth="1" min="6" max="6"/>
    <col width="16" customWidth="1" min="7" max="7"/>
    <col width="12" customWidth="1" min="8" max="8"/>
    <col width="12" customWidth="1" min="9" max="9"/>
    <col width="18" customWidth="1" min="10" max="10"/>
  </cols>
  <sheetData>
    <row r="1">
      <c r="A1" s="4" t="inlineStr">
        <is>
          <t>#</t>
        </is>
      </c>
      <c r="B1" s="4" t="inlineStr">
        <is>
          <t>Milestone</t>
        </is>
      </c>
      <c r="C1" s="4" t="inlineStr">
        <is>
          <t>يعتمد على</t>
        </is>
      </c>
      <c r="D1" s="4" t="inlineStr">
        <is>
          <t>الإصدار</t>
        </is>
      </c>
      <c r="E1" s="4" t="inlineStr">
        <is>
          <t>الجهد (أيام)</t>
        </is>
      </c>
      <c r="F1" s="4" t="inlineStr">
        <is>
          <t>المدة (أسابيع)</t>
        </is>
      </c>
      <c r="G1" s="4" t="inlineStr">
        <is>
          <t>نهاية تراكمية (أسبوع)</t>
        </is>
      </c>
      <c r="H1" s="4" t="inlineStr">
        <is>
          <t>المنجز (أيام)</t>
        </is>
      </c>
      <c r="I1" s="4" t="inlineStr">
        <is>
          <t>نسبة الإنجاز</t>
        </is>
      </c>
      <c r="J1" s="4" t="inlineStr">
        <is>
          <t>الجهد بعد التأجيل (أيام)</t>
        </is>
      </c>
    </row>
    <row r="2">
      <c r="A2" s="5" t="inlineStr">
        <is>
          <t>M0</t>
        </is>
      </c>
      <c r="B2" s="5" t="inlineStr">
        <is>
          <t>التثبيت والجاهزية والاكتشاف</t>
        </is>
      </c>
      <c r="C2" s="5" t="inlineStr">
        <is>
          <t>—</t>
        </is>
      </c>
      <c r="D2" s="5" t="inlineStr">
        <is>
          <t>R0</t>
        </is>
      </c>
      <c r="E2" s="6">
        <f>SUMIFS(Tasks!$G$2:$G$165,Tasks!$B$2:$B$165,A2)</f>
        <v/>
      </c>
      <c r="F2" s="7">
        <f>E2/5</f>
        <v/>
      </c>
      <c r="G2" s="7">
        <f>SUM($F$2:F2)</f>
        <v/>
      </c>
      <c r="H2" s="6">
        <f>SUMIFS(Tasks!$G$2:$G$165,Tasks!$B$2:$B$165,A2,Tasks!$I$2:$I$165,"✅ مكتمل")</f>
        <v/>
      </c>
      <c r="I2" s="8">
        <f>IFERROR(H2/E2,0)</f>
        <v/>
      </c>
      <c r="J2" s="6">
        <f>SUMIFS(Tasks!$G$2:$G$165,Tasks!$B$2:$B$165,A2,Tasks!$H$2:$H$165,"لا")</f>
        <v/>
      </c>
    </row>
    <row r="3">
      <c r="A3" s="5" t="inlineStr">
        <is>
          <t>M1</t>
        </is>
      </c>
      <c r="B3" s="5" t="inlineStr">
        <is>
          <t>الأساس: المستأجرون والهوية والأدوار والإعدادات</t>
        </is>
      </c>
      <c r="C3" s="5" t="inlineStr">
        <is>
          <t>M0</t>
        </is>
      </c>
      <c r="D3" s="5" t="inlineStr">
        <is>
          <t>R1</t>
        </is>
      </c>
      <c r="E3" s="6">
        <f>SUMIFS(Tasks!$G$2:$G$165,Tasks!$B$2:$B$165,A3)</f>
        <v/>
      </c>
      <c r="F3" s="7">
        <f>E3/5</f>
        <v/>
      </c>
      <c r="G3" s="7">
        <f>SUM($F$2:F3)</f>
        <v/>
      </c>
      <c r="H3" s="6">
        <f>SUMIFS(Tasks!$G$2:$G$165,Tasks!$B$2:$B$165,A3,Tasks!$I$2:$I$165,"✅ مكتمل")</f>
        <v/>
      </c>
      <c r="I3" s="8">
        <f>IFERROR(H3/E3,0)</f>
        <v/>
      </c>
      <c r="J3" s="6">
        <f>SUMIFS(Tasks!$G$2:$G$165,Tasks!$B$2:$B$165,A3,Tasks!$H$2:$H$165,"لا")</f>
        <v/>
      </c>
    </row>
    <row r="4">
      <c r="A4" s="5" t="inlineStr">
        <is>
          <t>M2</t>
        </is>
      </c>
      <c r="B4" s="5" t="inlineStr">
        <is>
          <t>تكامل MikroTik (نموذج PUSH)</t>
        </is>
      </c>
      <c r="C4" s="5" t="inlineStr">
        <is>
          <t>M1 + VPS</t>
        </is>
      </c>
      <c r="D4" s="5" t="inlineStr">
        <is>
          <t>R1</t>
        </is>
      </c>
      <c r="E4" s="6">
        <f>SUMIFS(Tasks!$G$2:$G$165,Tasks!$B$2:$B$165,A4)</f>
        <v/>
      </c>
      <c r="F4" s="7">
        <f>E4/5</f>
        <v/>
      </c>
      <c r="G4" s="7">
        <f>SUM($F$2:F4)</f>
        <v/>
      </c>
      <c r="H4" s="6">
        <f>SUMIFS(Tasks!$G$2:$G$165,Tasks!$B$2:$B$165,A4,Tasks!$I$2:$I$165,"✅ مكتمل")</f>
        <v/>
      </c>
      <c r="I4" s="8">
        <f>IFERROR(H4/E4,0)</f>
        <v/>
      </c>
      <c r="J4" s="6">
        <f>SUMIFS(Tasks!$G$2:$G$165,Tasks!$B$2:$B$165,A4,Tasks!$H$2:$H$165,"لا")</f>
        <v/>
      </c>
    </row>
    <row r="5">
      <c r="A5" s="5" t="inlineStr">
        <is>
          <t>M3</t>
        </is>
      </c>
      <c r="B5" s="5" t="inlineStr">
        <is>
          <t>محرك البيانات: الحضور والإحصاءات والتنبيهات</t>
        </is>
      </c>
      <c r="C5" s="5" t="inlineStr">
        <is>
          <t>M2</t>
        </is>
      </c>
      <c r="D5" s="5" t="inlineStr">
        <is>
          <t>R1</t>
        </is>
      </c>
      <c r="E5" s="6">
        <f>SUMIFS(Tasks!$G$2:$G$165,Tasks!$B$2:$B$165,A5)</f>
        <v/>
      </c>
      <c r="F5" s="7">
        <f>E5/5</f>
        <v/>
      </c>
      <c r="G5" s="7">
        <f>SUM($F$2:F5)</f>
        <v/>
      </c>
      <c r="H5" s="6">
        <f>SUMIFS(Tasks!$G$2:$G$165,Tasks!$B$2:$B$165,A5,Tasks!$I$2:$I$165,"✅ مكتمل")</f>
        <v/>
      </c>
      <c r="I5" s="8">
        <f>IFERROR(H5/E5,0)</f>
        <v/>
      </c>
      <c r="J5" s="6">
        <f>SUMIFS(Tasks!$G$2:$G$165,Tasks!$B$2:$B$165,A5,Tasks!$H$2:$H$165,"لا")</f>
        <v/>
      </c>
    </row>
    <row r="6">
      <c r="A6" s="5" t="inlineStr">
        <is>
          <t>M4</t>
        </is>
      </c>
      <c r="B6" s="5" t="inlineStr">
        <is>
          <t>لوحة صاحب المساحة: التشغيل والمشتركون</t>
        </is>
      </c>
      <c r="C6" s="5" t="inlineStr">
        <is>
          <t>M3</t>
        </is>
      </c>
      <c r="D6" s="5" t="inlineStr">
        <is>
          <t>R2</t>
        </is>
      </c>
      <c r="E6" s="6">
        <f>SUMIFS(Tasks!$G$2:$G$165,Tasks!$B$2:$B$165,A6)</f>
        <v/>
      </c>
      <c r="F6" s="7">
        <f>E6/5</f>
        <v/>
      </c>
      <c r="G6" s="7">
        <f>SUM($F$2:F6)</f>
        <v/>
      </c>
      <c r="H6" s="6">
        <f>SUMIFS(Tasks!$G$2:$G$165,Tasks!$B$2:$B$165,A6,Tasks!$I$2:$I$165,"✅ مكتمل")</f>
        <v/>
      </c>
      <c r="I6" s="8">
        <f>IFERROR(H6/E6,0)</f>
        <v/>
      </c>
      <c r="J6" s="6">
        <f>SUMIFS(Tasks!$G$2:$G$165,Tasks!$B$2:$B$165,A6,Tasks!$H$2:$H$165,"لا")</f>
        <v/>
      </c>
    </row>
    <row r="7">
      <c r="A7" s="5" t="inlineStr">
        <is>
          <t>M5</t>
        </is>
      </c>
      <c r="B7" s="5" t="inlineStr">
        <is>
          <t>المالية v2: الفوترة والتحصيل ونقطة البيع (بلا بوابة دفع)</t>
        </is>
      </c>
      <c r="C7" s="5" t="inlineStr">
        <is>
          <t>M1، M4</t>
        </is>
      </c>
      <c r="D7" s="5" t="inlineStr">
        <is>
          <t>R2</t>
        </is>
      </c>
      <c r="E7" s="6">
        <f>SUMIFS(Tasks!$G$2:$G$165,Tasks!$B$2:$B$165,A7)</f>
        <v/>
      </c>
      <c r="F7" s="7">
        <f>E7/5</f>
        <v/>
      </c>
      <c r="G7" s="7">
        <f>SUM($F$2:F7)</f>
        <v/>
      </c>
      <c r="H7" s="6">
        <f>SUMIFS(Tasks!$G$2:$G$165,Tasks!$B$2:$B$165,A7,Tasks!$I$2:$I$165,"✅ مكتمل")</f>
        <v/>
      </c>
      <c r="I7" s="8">
        <f>IFERROR(H7/E7,0)</f>
        <v/>
      </c>
      <c r="J7" s="6">
        <f>SUMIFS(Tasks!$G$2:$G$165,Tasks!$B$2:$B$165,A7,Tasks!$H$2:$H$165,"لا")</f>
        <v/>
      </c>
    </row>
    <row r="8">
      <c r="A8" s="5" t="inlineStr">
        <is>
          <t>M6</t>
        </is>
      </c>
      <c r="B8" s="5" t="inlineStr">
        <is>
          <t>برنامج GSG وUR وإقفال الشهر</t>
        </is>
      </c>
      <c r="C8" s="5" t="inlineStr">
        <is>
          <t>M3، M4</t>
        </is>
      </c>
      <c r="D8" s="5" t="inlineStr">
        <is>
          <t>R3</t>
        </is>
      </c>
      <c r="E8" s="6">
        <f>SUMIFS(Tasks!$G$2:$G$165,Tasks!$B$2:$B$165,A8)</f>
        <v/>
      </c>
      <c r="F8" s="7">
        <f>E8/5</f>
        <v/>
      </c>
      <c r="G8" s="7">
        <f>SUM($F$2:F8)</f>
        <v/>
      </c>
      <c r="H8" s="6">
        <f>SUMIFS(Tasks!$G$2:$G$165,Tasks!$B$2:$B$165,A8,Tasks!$I$2:$I$165,"✅ مكتمل")</f>
        <v/>
      </c>
      <c r="I8" s="8">
        <f>IFERROR(H8/E8,0)</f>
        <v/>
      </c>
      <c r="J8" s="6">
        <f>SUMIFS(Tasks!$G$2:$G$165,Tasks!$B$2:$B$165,A8,Tasks!$H$2:$H$165,"لا")</f>
        <v/>
      </c>
    </row>
    <row r="9">
      <c r="A9" s="5" t="inlineStr">
        <is>
          <t>M7</t>
        </is>
      </c>
      <c r="B9" s="5" t="inlineStr">
        <is>
          <t>التحليلات والتقارير ومنشئ التقارير</t>
        </is>
      </c>
      <c r="C9" s="5" t="inlineStr">
        <is>
          <t>M3، M6</t>
        </is>
      </c>
      <c r="D9" s="5" t="inlineStr">
        <is>
          <t>R3</t>
        </is>
      </c>
      <c r="E9" s="6">
        <f>SUMIFS(Tasks!$G$2:$G$165,Tasks!$B$2:$B$165,A9)</f>
        <v/>
      </c>
      <c r="F9" s="7">
        <f>E9/5</f>
        <v/>
      </c>
      <c r="G9" s="7">
        <f>SUM($F$2:F9)</f>
        <v/>
      </c>
      <c r="H9" s="6">
        <f>SUMIFS(Tasks!$G$2:$G$165,Tasks!$B$2:$B$165,A9,Tasks!$I$2:$I$165,"✅ مكتمل")</f>
        <v/>
      </c>
      <c r="I9" s="8">
        <f>IFERROR(H9/E9,0)</f>
        <v/>
      </c>
      <c r="J9" s="6">
        <f>SUMIFS(Tasks!$G$2:$G$165,Tasks!$B$2:$B$165,A9,Tasks!$H$2:$H$165,"لا")</f>
        <v/>
      </c>
    </row>
    <row r="10">
      <c r="A10" s="5" t="inlineStr">
        <is>
          <t>M8</t>
        </is>
      </c>
      <c r="B10" s="5" t="inlineStr">
        <is>
          <t>توسعة لوحة السوبر أدمن</t>
        </is>
      </c>
      <c r="C10" s="5" t="inlineStr">
        <is>
          <t>M6</t>
        </is>
      </c>
      <c r="D10" s="5" t="inlineStr">
        <is>
          <t>R3</t>
        </is>
      </c>
      <c r="E10" s="6">
        <f>SUMIFS(Tasks!$G$2:$G$165,Tasks!$B$2:$B$165,A10)</f>
        <v/>
      </c>
      <c r="F10" s="7">
        <f>E10/5</f>
        <v/>
      </c>
      <c r="G10" s="7">
        <f>SUM($F$2:F10)</f>
        <v/>
      </c>
      <c r="H10" s="6">
        <f>SUMIFS(Tasks!$G$2:$G$165,Tasks!$B$2:$B$165,A10,Tasks!$I$2:$I$165,"✅ مكتمل")</f>
        <v/>
      </c>
      <c r="I10" s="8">
        <f>IFERROR(H10/E10,0)</f>
        <v/>
      </c>
      <c r="J10" s="6">
        <f>SUMIFS(Tasks!$G$2:$G$165,Tasks!$B$2:$B$165,A10,Tasks!$H$2:$H$165,"لا")</f>
        <v/>
      </c>
    </row>
    <row r="11">
      <c r="A11" s="5" t="inlineStr">
        <is>
          <t>M9</t>
        </is>
      </c>
      <c r="B11" s="5" t="inlineStr">
        <is>
          <t>توسعة بوابة الفريلانسر</t>
        </is>
      </c>
      <c r="C11" s="5" t="inlineStr">
        <is>
          <t>M3، M4، M5</t>
        </is>
      </c>
      <c r="D11" s="5" t="inlineStr">
        <is>
          <t>R4</t>
        </is>
      </c>
      <c r="E11" s="6">
        <f>SUMIFS(Tasks!$G$2:$G$165,Tasks!$B$2:$B$165,A11)</f>
        <v/>
      </c>
      <c r="F11" s="7">
        <f>E11/5</f>
        <v/>
      </c>
      <c r="G11" s="7">
        <f>SUM($F$2:F11)</f>
        <v/>
      </c>
      <c r="H11" s="6">
        <f>SUMIFS(Tasks!$G$2:$G$165,Tasks!$B$2:$B$165,A11,Tasks!$I$2:$I$165,"✅ مكتمل")</f>
        <v/>
      </c>
      <c r="I11" s="8">
        <f>IFERROR(H11/E11,0)</f>
        <v/>
      </c>
      <c r="J11" s="6">
        <f>SUMIFS(Tasks!$G$2:$G$165,Tasks!$B$2:$B$165,A11,Tasks!$H$2:$H$165,"لا")</f>
        <v/>
      </c>
    </row>
    <row r="12">
      <c r="A12" s="5" t="inlineStr">
        <is>
          <t>M10</t>
        </is>
      </c>
      <c r="B12" s="5" t="inlineStr">
        <is>
          <t>الموقع العام ومنشئ الموقع وتسجيل الضيوف</t>
        </is>
      </c>
      <c r="C12" s="5" t="inlineStr">
        <is>
          <t>M2، M9</t>
        </is>
      </c>
      <c r="D12" s="5" t="inlineStr">
        <is>
          <t>R4</t>
        </is>
      </c>
      <c r="E12" s="6">
        <f>SUMIFS(Tasks!$G$2:$G$165,Tasks!$B$2:$B$165,A12)</f>
        <v/>
      </c>
      <c r="F12" s="7">
        <f>E12/5</f>
        <v/>
      </c>
      <c r="G12" s="7">
        <f>SUM($F$2:F12)</f>
        <v/>
      </c>
      <c r="H12" s="6">
        <f>SUMIFS(Tasks!$G$2:$G$165,Tasks!$B$2:$B$165,A12,Tasks!$I$2:$I$165,"✅ مكتمل")</f>
        <v/>
      </c>
      <c r="I12" s="8">
        <f>IFERROR(H12/E12,0)</f>
        <v/>
      </c>
      <c r="J12" s="6">
        <f>SUMIFS(Tasks!$G$2:$G$165,Tasks!$B$2:$B$165,A12,Tasks!$H$2:$H$165,"لا")</f>
        <v/>
      </c>
    </row>
    <row r="13">
      <c r="A13" s="5" t="inlineStr">
        <is>
          <t>M11</t>
        </is>
      </c>
      <c r="B13" s="5" t="inlineStr">
        <is>
          <t>التكامل بين اللوحات (End-to-End)</t>
        </is>
      </c>
      <c r="C13" s="5" t="inlineStr">
        <is>
          <t>M8، M9، M10</t>
        </is>
      </c>
      <c r="D13" s="5" t="inlineStr">
        <is>
          <t>R5</t>
        </is>
      </c>
      <c r="E13" s="6">
        <f>SUMIFS(Tasks!$G$2:$G$165,Tasks!$B$2:$B$165,A13)</f>
        <v/>
      </c>
      <c r="F13" s="7">
        <f>E13/5</f>
        <v/>
      </c>
      <c r="G13" s="7">
        <f>SUM($F$2:F13)</f>
        <v/>
      </c>
      <c r="H13" s="6">
        <f>SUMIFS(Tasks!$G$2:$G$165,Tasks!$B$2:$B$165,A13,Tasks!$I$2:$I$165,"✅ مكتمل")</f>
        <v/>
      </c>
      <c r="I13" s="8">
        <f>IFERROR(H13/E13,0)</f>
        <v/>
      </c>
      <c r="J13" s="6">
        <f>SUMIFS(Tasks!$G$2:$G$165,Tasks!$B$2:$B$165,A13,Tasks!$H$2:$H$165,"لا")</f>
        <v/>
      </c>
    </row>
    <row r="14">
      <c r="A14" s="5" t="inlineStr">
        <is>
          <t>M12</t>
        </is>
      </c>
      <c r="B14" s="5" t="inlineStr">
        <is>
          <t>التقوية: الأمان والأداء والتعريب</t>
        </is>
      </c>
      <c r="C14" s="5" t="inlineStr">
        <is>
          <t>M11</t>
        </is>
      </c>
      <c r="D14" s="5" t="inlineStr">
        <is>
          <t>R5</t>
        </is>
      </c>
      <c r="E14" s="6">
        <f>SUMIFS(Tasks!$G$2:$G$165,Tasks!$B$2:$B$165,A14)</f>
        <v/>
      </c>
      <c r="F14" s="7">
        <f>E14/5</f>
        <v/>
      </c>
      <c r="G14" s="7">
        <f>SUM($F$2:F14)</f>
        <v/>
      </c>
      <c r="H14" s="6">
        <f>SUMIFS(Tasks!$G$2:$G$165,Tasks!$B$2:$B$165,A14,Tasks!$I$2:$I$165,"✅ مكتمل")</f>
        <v/>
      </c>
      <c r="I14" s="8">
        <f>IFERROR(H14/E14,0)</f>
        <v/>
      </c>
      <c r="J14" s="6">
        <f>SUMIFS(Tasks!$G$2:$G$165,Tasks!$B$2:$B$165,A14,Tasks!$H$2:$H$165,"لا")</f>
        <v/>
      </c>
    </row>
    <row r="15">
      <c r="A15" s="5" t="inlineStr">
        <is>
          <t>M13</t>
        </is>
      </c>
      <c r="B15" s="5" t="inlineStr">
        <is>
          <t>الترحيل وUAT والانتقال الكامل من CoWorkSpaces</t>
        </is>
      </c>
      <c r="C15" s="5" t="inlineStr">
        <is>
          <t>M12</t>
        </is>
      </c>
      <c r="D15" s="5" t="inlineStr">
        <is>
          <t>R5</t>
        </is>
      </c>
      <c r="E15" s="6">
        <f>SUMIFS(Tasks!$G$2:$G$165,Tasks!$B$2:$B$165,A15)</f>
        <v/>
      </c>
      <c r="F15" s="7">
        <f>E15/5</f>
        <v/>
      </c>
      <c r="G15" s="7">
        <f>SUM($F$2:F15)</f>
        <v/>
      </c>
      <c r="H15" s="6">
        <f>SUMIFS(Tasks!$G$2:$G$165,Tasks!$B$2:$B$165,A15,Tasks!$I$2:$I$165,"✅ مكتمل")</f>
        <v/>
      </c>
      <c r="I15" s="8">
        <f>IFERROR(H15/E15,0)</f>
        <v/>
      </c>
      <c r="J15" s="6">
        <f>SUMIFS(Tasks!$G$2:$G$165,Tasks!$B$2:$B$165,A15,Tasks!$H$2:$H$165,"لا")</f>
        <v/>
      </c>
    </row>
    <row r="16">
      <c r="A16" s="9" t="inlineStr"/>
      <c r="B16" s="9" t="inlineStr">
        <is>
          <t>الإجمالي</t>
        </is>
      </c>
      <c r="C16" s="9" t="inlineStr"/>
      <c r="D16" s="9" t="inlineStr"/>
      <c r="E16" s="10">
        <f>SUM(E2:E15)</f>
        <v/>
      </c>
      <c r="F16" s="11">
        <f>SUM(F2:F15)</f>
        <v/>
      </c>
      <c r="G16" s="11">
        <f>G15</f>
        <v/>
      </c>
      <c r="H16" s="10">
        <f>SUM(H2:H15)</f>
        <v/>
      </c>
      <c r="I16" s="12">
        <f>IFERROR(H16/E16,0)</f>
        <v/>
      </c>
      <c r="J16" s="10">
        <f>SUM(J2:J15)</f>
        <v/>
      </c>
    </row>
    <row r="18">
      <c r="B18" s="13" t="inlineStr">
        <is>
          <t>المدة = الجهد ÷ 5 أيام عمل (مطوّر واحد + Claude، تنفيذ تسلسلي). تقدير أولي ±20% (2026-10-29).</t>
        </is>
      </c>
    </row>
    <row r="19">
      <c r="B19" s="13" t="inlineStr">
        <is>
          <t>تحقق: مجموع أيام Tasks = SUM(Tasks!G2:G165)</t>
        </is>
      </c>
      <c r="E19" s="13">
        <f>SUM(Tasks!$G$2:$G$165)</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65"/>
  <sheetViews>
    <sheetView rightToLeft="1" workbookViewId="0">
      <pane ySplit="1" topLeftCell="A2" activePane="bottomLeft" state="frozen"/>
      <selection pane="bottomLeft" activeCell="A1" sqref="A1"/>
    </sheetView>
  </sheetViews>
  <sheetFormatPr baseColWidth="8" defaultRowHeight="15"/>
  <cols>
    <col width="8" customWidth="1" min="1" max="1"/>
    <col width="9" customWidth="1" min="2" max="2"/>
    <col width="70" customWidth="1" min="3" max="3"/>
    <col width="22" customWidth="1" min="4" max="4"/>
    <col width="40" customWidth="1" min="5" max="5"/>
    <col width="9" customWidth="1" min="6" max="6"/>
    <col width="10" customWidth="1" min="7" max="7"/>
    <col width="10" customWidth="1" min="8" max="8"/>
    <col width="15" customWidth="1" min="9" max="9"/>
    <col width="26" customWidth="1" min="10" max="10"/>
    <col width="10" customWidth="1" min="11" max="11"/>
    <col width="30" customWidth="1" min="12" max="12"/>
  </cols>
  <sheetData>
    <row r="1">
      <c r="A1" s="4" t="inlineStr">
        <is>
          <t>المعرّف</t>
        </is>
      </c>
      <c r="B1" s="4" t="inlineStr">
        <is>
          <t>Milestone</t>
        </is>
      </c>
      <c r="C1" s="4" t="inlineStr">
        <is>
          <t>المهمة</t>
        </is>
      </c>
      <c r="D1" s="4" t="inlineStr">
        <is>
          <t>مرجع SRS</t>
        </is>
      </c>
      <c r="E1" s="4" t="inlineStr">
        <is>
          <t>الوضع الحالي في الكود</t>
        </is>
      </c>
      <c r="F1" s="4" t="inlineStr">
        <is>
          <t>النوع</t>
        </is>
      </c>
      <c r="G1" s="4" t="inlineStr">
        <is>
          <t>الجهد (أيام)</t>
        </is>
      </c>
      <c r="H1" s="4" t="inlineStr">
        <is>
          <t>قابلة للتأجيل</t>
        </is>
      </c>
      <c r="I1" s="4" t="inlineStr">
        <is>
          <t>الحالة</t>
        </is>
      </c>
      <c r="J1" s="4" t="inlineStr">
        <is>
          <t>الفرع</t>
        </is>
      </c>
      <c r="K1" s="4" t="inlineStr">
        <is>
          <t>PR</t>
        </is>
      </c>
      <c r="L1" s="4" t="inlineStr">
        <is>
          <t>ملاحظات</t>
        </is>
      </c>
    </row>
    <row r="2">
      <c r="A2" s="5" t="inlineStr">
        <is>
          <t>0.1</t>
        </is>
      </c>
      <c r="B2" s="5" t="inlineStr">
        <is>
          <t>M0</t>
        </is>
      </c>
      <c r="C2" s="5" t="inlineStr">
        <is>
          <t>إصدار R0: PR من dev إلى main لنشر POS/الكاشير (32 commit) + فحص staging</t>
        </is>
      </c>
      <c r="D2" s="5" t="inlineStr">
        <is>
          <t>—</t>
        </is>
      </c>
      <c r="E2" s="5" t="inlineStr">
        <is>
          <t>توسعة: 32 commit على dev غير منشورة</t>
        </is>
      </c>
      <c r="F2" s="5" t="inlineStr">
        <is>
          <t>Ops</t>
        </is>
      </c>
      <c r="G2" s="6" t="n">
        <v>0.5</v>
      </c>
      <c r="H2" s="5" t="inlineStr">
        <is>
          <t>لا</t>
        </is>
      </c>
      <c r="I2" s="14" t="inlineStr">
        <is>
          <t>⬜ لم يبدأ</t>
        </is>
      </c>
      <c r="J2" s="14" t="inlineStr">
        <is>
          <t>chore/m0-stabilize</t>
        </is>
      </c>
      <c r="K2" s="14" t="inlineStr"/>
      <c r="L2" s="14" t="inlineStr"/>
    </row>
    <row r="3">
      <c r="A3" s="5" t="inlineStr">
        <is>
          <t>0.2</t>
        </is>
      </c>
      <c r="B3" s="5" t="inlineStr">
        <is>
          <t>M0</t>
        </is>
      </c>
      <c r="C3" s="5" t="inlineStr">
        <is>
          <t>إزالة مسار ops/clear-cache-9f3a2c غير المحمي</t>
        </is>
      </c>
      <c r="D3" s="5" t="inlineStr">
        <is>
          <t>NFR-SEC</t>
        </is>
      </c>
      <c r="E3" s="5" t="inlineStr">
        <is>
          <t>توسعة: backend/routes/web.php</t>
        </is>
      </c>
      <c r="F3" s="5" t="inlineStr">
        <is>
          <t>BE</t>
        </is>
      </c>
      <c r="G3" s="6" t="n">
        <v>0.25</v>
      </c>
      <c r="H3" s="5" t="inlineStr">
        <is>
          <t>لا</t>
        </is>
      </c>
      <c r="I3" s="14" t="inlineStr">
        <is>
          <t>⬜ لم يبدأ</t>
        </is>
      </c>
      <c r="J3" s="14" t="inlineStr">
        <is>
          <t>chore/m0-stabilize</t>
        </is>
      </c>
      <c r="K3" s="14" t="inlineStr"/>
      <c r="L3" s="14" t="inlineStr"/>
    </row>
    <row r="4">
      <c r="A4" s="5" t="inlineStr">
        <is>
          <t>0.3</t>
        </is>
      </c>
      <c r="B4" s="5" t="inlineStr">
        <is>
          <t>M0</t>
        </is>
      </c>
      <c r="C4" s="5" t="inlineStr">
        <is>
          <t>تدوير الأسرار المكشوفة (DB، AWS، Firebase، SSO) ونقلها إلى GitHub Secrets و.env الخادم فقط</t>
        </is>
      </c>
      <c r="D4" s="5" t="inlineStr">
        <is>
          <t>NFR-SEC</t>
        </is>
      </c>
      <c r="E4" s="5" t="inlineStr">
        <is>
          <t>جديد</t>
        </is>
      </c>
      <c r="F4" s="5" t="inlineStr">
        <is>
          <t>Ops</t>
        </is>
      </c>
      <c r="G4" s="6" t="n">
        <v>0.5</v>
      </c>
      <c r="H4" s="5" t="inlineStr">
        <is>
          <t>لا</t>
        </is>
      </c>
      <c r="I4" s="14" t="inlineStr">
        <is>
          <t>⬜ لم يبدأ</t>
        </is>
      </c>
      <c r="J4" s="14" t="inlineStr">
        <is>
          <t>chore/m0-stabilize</t>
        </is>
      </c>
      <c r="K4" s="14" t="inlineStr"/>
      <c r="L4" s="14" t="inlineStr"/>
    </row>
    <row r="5">
      <c r="A5" s="5" t="inlineStr">
        <is>
          <t>0.4</t>
        </is>
      </c>
      <c r="B5" s="5" t="inlineStr">
        <is>
          <t>M0</t>
        </is>
      </c>
      <c r="C5" s="5" t="inlineStr">
        <is>
          <t>أمر مجدول subscriptions:expire (لا شيء يحوّل الاشتراك إلى expired حاليًا) بتاريخ الانتهاء فقط — أيام السماح تُضاف في 4.7 + اختبار</t>
        </is>
      </c>
      <c r="D5" s="5" t="inlineStr">
        <is>
          <t>FR-MEM-03</t>
        </is>
      </c>
      <c r="E5" s="5" t="inlineStr">
        <is>
          <t>توسعة: backend/routes/console.php</t>
        </is>
      </c>
      <c r="F5" s="5" t="inlineStr">
        <is>
          <t>BE</t>
        </is>
      </c>
      <c r="G5" s="6" t="n">
        <v>0.5</v>
      </c>
      <c r="H5" s="5" t="inlineStr">
        <is>
          <t>لا</t>
        </is>
      </c>
      <c r="I5" s="14" t="inlineStr">
        <is>
          <t>⬜ لم يبدأ</t>
        </is>
      </c>
      <c r="J5" s="14" t="inlineStr">
        <is>
          <t>chore/m0-stabilize</t>
        </is>
      </c>
      <c r="K5" s="14" t="inlineStr"/>
      <c r="L5" s="14" t="inlineStr"/>
    </row>
    <row r="6">
      <c r="A6" s="5" t="inlineStr">
        <is>
          <t>0.5</t>
        </is>
      </c>
      <c r="B6" s="5" t="inlineStr">
        <is>
          <t>M0</t>
        </is>
      </c>
      <c r="C6" s="5" t="inlineStr">
        <is>
          <t>تجهيز VPS: Nginx، PHP 8.3-FPM، MySQL 8، Redis 7، Supervisor (طوابير ingest/default/heavy)، Certbot، نسخ احتياطي ليلي إلى S3</t>
        </is>
      </c>
      <c r="D6" s="5" t="inlineStr">
        <is>
          <t>NFR-PERF</t>
        </is>
      </c>
      <c r="E6" s="5" t="inlineStr">
        <is>
          <t>جديد (الحالي cPanel مشترك بلا worker دائم)</t>
        </is>
      </c>
      <c r="F6" s="5" t="inlineStr">
        <is>
          <t>Ops</t>
        </is>
      </c>
      <c r="G6" s="6" t="n">
        <v>1.5</v>
      </c>
      <c r="H6" s="5" t="inlineStr">
        <is>
          <t>لا</t>
        </is>
      </c>
      <c r="I6" s="14" t="inlineStr">
        <is>
          <t>⬜ لم يبدأ</t>
        </is>
      </c>
      <c r="J6" s="14" t="inlineStr">
        <is>
          <t>chore/m0-stabilize</t>
        </is>
      </c>
      <c r="K6" s="14" t="inlineStr"/>
      <c r="L6" s="14" t="inlineStr"/>
    </row>
    <row r="7">
      <c r="A7" s="5" t="inlineStr">
        <is>
          <t>0.6</t>
        </is>
      </c>
      <c r="B7" s="5" t="inlineStr">
        <is>
          <t>M0</t>
        </is>
      </c>
      <c r="C7" s="5" t="inlineStr">
        <is>
          <t>النطاق الثابت sync.taqat.space + تحويل GitHub Actions للنشر على الـ VPS (staging ثم production) + systemd لـ Next.js</t>
        </is>
      </c>
      <c r="D7" s="5" t="inlineStr">
        <is>
          <t>NFR-PERF</t>
        </is>
      </c>
      <c r="E7" s="5" t="inlineStr">
        <is>
          <t>توسعة: .github/workflows/deploy-staging.yml</t>
        </is>
      </c>
      <c r="F7" s="5" t="inlineStr">
        <is>
          <t>Ops</t>
        </is>
      </c>
      <c r="G7" s="6" t="n">
        <v>0.75</v>
      </c>
      <c r="H7" s="5" t="inlineStr">
        <is>
          <t>لا</t>
        </is>
      </c>
      <c r="I7" s="14" t="inlineStr">
        <is>
          <t>⬜ لم يبدأ</t>
        </is>
      </c>
      <c r="J7" s="14" t="inlineStr">
        <is>
          <t>chore/m0-stabilize</t>
        </is>
      </c>
      <c r="K7" s="14" t="inlineStr"/>
      <c r="L7" s="14" t="inlineStr"/>
    </row>
    <row r="8">
      <c r="A8" s="5" t="inlineStr">
        <is>
          <t>0.7</t>
        </is>
      </c>
      <c r="B8" s="5" t="inlineStr">
        <is>
          <t>M0</t>
        </is>
      </c>
      <c r="C8" s="5" t="inlineStr">
        <is>
          <t>جلب الملحق أ (جرد 80 شاشة) والملحق ب (سكربت MikroTik الحالي من راوتر TAQAT GAZA) وتحديث الشيت إلى v1.1</t>
        </is>
      </c>
      <c r="D8" s="5" t="inlineStr">
        <is>
          <t>—</t>
        </is>
      </c>
      <c r="E8" s="5" t="inlineStr">
        <is>
          <t>جديد</t>
        </is>
      </c>
      <c r="F8" s="5" t="inlineStr">
        <is>
          <t>PM</t>
        </is>
      </c>
      <c r="G8" s="6" t="n">
        <v>0.5</v>
      </c>
      <c r="H8" s="5" t="inlineStr">
        <is>
          <t>لا</t>
        </is>
      </c>
      <c r="I8" s="14" t="inlineStr">
        <is>
          <t>⬜ لم يبدأ</t>
        </is>
      </c>
      <c r="J8" s="14" t="inlineStr">
        <is>
          <t>chore/m0-stabilize</t>
        </is>
      </c>
      <c r="K8" s="14" t="inlineStr"/>
      <c r="L8" s="14" t="inlineStr"/>
    </row>
    <row r="9">
      <c r="A9" s="5" t="inlineStr">
        <is>
          <t>0.8</t>
        </is>
      </c>
      <c r="B9" s="5" t="inlineStr">
        <is>
          <t>M0</t>
        </is>
      </c>
      <c r="C9" s="5" t="inlineStr">
        <is>
          <t>تصدير بيانات CoWorkSpaces (المشتركون، الأجهزة، العقود، Roster، UTR/UR أكتوبر 2026، التقارير) وتوثيق صيغ الملفات</t>
        </is>
      </c>
      <c r="D9" s="5" t="inlineStr">
        <is>
          <t>§7.3</t>
        </is>
      </c>
      <c r="E9" s="5" t="inlineStr">
        <is>
          <t>جديد</t>
        </is>
      </c>
      <c r="F9" s="5" t="inlineStr">
        <is>
          <t>PM</t>
        </is>
      </c>
      <c r="G9" s="6" t="n">
        <v>0.25</v>
      </c>
      <c r="H9" s="5" t="inlineStr">
        <is>
          <t>لا</t>
        </is>
      </c>
      <c r="I9" s="14" t="inlineStr">
        <is>
          <t>⬜ لم يبدأ</t>
        </is>
      </c>
      <c r="J9" s="14" t="inlineStr">
        <is>
          <t>chore/m0-stabilize</t>
        </is>
      </c>
      <c r="K9" s="14" t="inlineStr"/>
      <c r="L9" s="14" t="inlineStr"/>
    </row>
    <row r="10">
      <c r="A10" s="5" t="inlineStr">
        <is>
          <t>0.9</t>
        </is>
      </c>
      <c r="B10" s="5" t="inlineStr">
        <is>
          <t>M0</t>
        </is>
      </c>
      <c r="C10" s="5" t="inlineStr">
        <is>
          <t>تحديث README.md وأرشفة DOCS/taqat_space_dev_plan.xlsx القديم واعتماد هذه الوثائق مرجعًا</t>
        </is>
      </c>
      <c r="D10" s="5" t="inlineStr">
        <is>
          <t>—</t>
        </is>
      </c>
      <c r="E10" s="5" t="inlineStr">
        <is>
          <t>توسعة: README.md</t>
        </is>
      </c>
      <c r="F10" s="5" t="inlineStr">
        <is>
          <t>PM</t>
        </is>
      </c>
      <c r="G10" s="6" t="n">
        <v>0.25</v>
      </c>
      <c r="H10" s="5" t="inlineStr">
        <is>
          <t>لا</t>
        </is>
      </c>
      <c r="I10" s="14" t="inlineStr">
        <is>
          <t>⬜ لم يبدأ</t>
        </is>
      </c>
      <c r="J10" s="14" t="inlineStr">
        <is>
          <t>chore/m0-stabilize</t>
        </is>
      </c>
      <c r="K10" s="14" t="inlineStr"/>
      <c r="L10" s="14" t="inlineStr"/>
    </row>
    <row r="11">
      <c r="A11" s="5" t="inlineStr">
        <is>
          <t>0.10</t>
        </is>
      </c>
      <c r="B11" s="5" t="inlineStr">
        <is>
          <t>M0</t>
        </is>
      </c>
      <c r="C11" s="5" t="inlineStr">
        <is>
          <t>جلسة مع مشغّل المنصة (السوبر أدمن) وفريلانسر فعلي لتأكيد نطاق M8/M9 المستنتج في الـ SRS</t>
        </is>
      </c>
      <c r="D11" s="5" t="inlineStr">
        <is>
          <t>§5، FR-SA-01..07، FR-FL-01..05</t>
        </is>
      </c>
      <c r="E11" s="5" t="inlineStr">
        <is>
          <t>جديد</t>
        </is>
      </c>
      <c r="F11" s="5" t="inlineStr">
        <is>
          <t>PM</t>
        </is>
      </c>
      <c r="G11" s="6" t="n">
        <v>0.5</v>
      </c>
      <c r="H11" s="5" t="inlineStr">
        <is>
          <t>لا</t>
        </is>
      </c>
      <c r="I11" s="14" t="inlineStr">
        <is>
          <t>⬜ لم يبدأ</t>
        </is>
      </c>
      <c r="J11" s="14" t="inlineStr">
        <is>
          <t>chore/m0-stabilize</t>
        </is>
      </c>
      <c r="K11" s="14" t="inlineStr"/>
      <c r="L11" s="14" t="inlineStr"/>
    </row>
    <row r="12">
      <c r="A12" s="5" t="inlineStr">
        <is>
          <t>0.11</t>
        </is>
      </c>
      <c r="B12" s="5" t="inlineStr">
        <is>
          <t>M0</t>
        </is>
      </c>
      <c r="C12" s="5" t="inlineStr">
        <is>
          <t>الحصول على مواصفة صيغة UR الكاملة: المعلمات الـ 32، مستويات C، أوزان TypeW، نمط الحضور، الفحوص الـ 22 (شرط لـ 6.4 test-first)</t>
        </is>
      </c>
      <c r="D12" s="5" t="inlineStr">
        <is>
          <t>FR-TRK-03، FR-MCL-02</t>
        </is>
      </c>
      <c r="E12" s="5" t="inlineStr">
        <is>
          <t>جديد</t>
        </is>
      </c>
      <c r="F12" s="5" t="inlineStr">
        <is>
          <t>PM</t>
        </is>
      </c>
      <c r="G12" s="6" t="n">
        <v>0.5</v>
      </c>
      <c r="H12" s="5" t="inlineStr">
        <is>
          <t>لا</t>
        </is>
      </c>
      <c r="I12" s="14" t="inlineStr">
        <is>
          <t>⬜ لم يبدأ</t>
        </is>
      </c>
      <c r="J12" s="14" t="inlineStr">
        <is>
          <t>chore/m0-stabilize</t>
        </is>
      </c>
      <c r="K12" s="14" t="inlineStr"/>
      <c r="L12" s="14" t="inlineStr"/>
    </row>
    <row r="13">
      <c r="A13" s="5" t="inlineStr">
        <is>
          <t>1.1</t>
        </is>
      </c>
      <c r="B13" s="5" t="inlineStr">
        <is>
          <t>M1</t>
        </is>
      </c>
      <c r="C13" s="5" t="inlineStr">
        <is>
          <t>هوية المستأجر: slug ثابت، code فريد (base32)، platform_plan، platform_status + backfill للمساحات الحالية</t>
        </is>
      </c>
      <c r="D13" s="5" t="inlineStr">
        <is>
          <t>§1.3، FR-SA-01، ENT-Workspace</t>
        </is>
      </c>
      <c r="E13" s="5" t="inlineStr">
        <is>
          <t>توسعة: backend/app/Models/Workspace.php</t>
        </is>
      </c>
      <c r="F13" s="5" t="inlineStr">
        <is>
          <t>BE</t>
        </is>
      </c>
      <c r="G13" s="6" t="n">
        <v>0.5</v>
      </c>
      <c r="H13" s="5" t="inlineStr">
        <is>
          <t>لا</t>
        </is>
      </c>
      <c r="I13" s="14" t="inlineStr">
        <is>
          <t>⬜ لم يبدأ</t>
        </is>
      </c>
      <c r="J13" s="14" t="inlineStr">
        <is>
          <t>feat/m1-foundation</t>
        </is>
      </c>
      <c r="K13" s="14" t="inlineStr"/>
      <c r="L13" s="14" t="inlineStr"/>
    </row>
    <row r="14">
      <c r="A14" s="5" t="inlineStr">
        <is>
          <t>1.2</t>
        </is>
      </c>
      <c r="B14" s="5" t="inlineStr">
        <is>
          <t>M1</t>
        </is>
      </c>
      <c r="C14" s="5" t="inlineStr">
        <is>
          <t>CurrentWorkspace middleware + Trait BelongsToWorkspace (للنماذج الجديدة) + جدول branches</t>
        </is>
      </c>
      <c r="D14" s="5" t="inlineStr">
        <is>
          <t>FR-STN-02، §7.2</t>
        </is>
      </c>
      <c r="E14" s="5" t="inlineStr">
        <is>
          <t>جديد</t>
        </is>
      </c>
      <c r="F14" s="5" t="inlineStr">
        <is>
          <t>BE</t>
        </is>
      </c>
      <c r="G14" s="6" t="n">
        <v>0.75</v>
      </c>
      <c r="H14" s="5" t="inlineStr">
        <is>
          <t>لا</t>
        </is>
      </c>
      <c r="I14" s="14" t="inlineStr">
        <is>
          <t>⬜ لم يبدأ</t>
        </is>
      </c>
      <c r="J14" s="14" t="inlineStr">
        <is>
          <t>feat/m1-foundation</t>
        </is>
      </c>
      <c r="K14" s="14" t="inlineStr"/>
      <c r="L14" s="14" t="inlineStr"/>
    </row>
    <row r="15">
      <c r="A15" s="5" t="inlineStr">
        <is>
          <t>1.3</t>
        </is>
      </c>
      <c r="B15" s="5" t="inlineStr">
        <is>
          <t>M1</t>
        </is>
      </c>
      <c r="C15" s="5" t="inlineStr">
        <is>
          <t>موظفو المساحة: تعميم الكاشير إلى مجموعات جاهزة (صندوق، ضيافة، مشرف مالي) بخريطة مجموعة← صلاحيات تُمدَّد في 5.21 + صلاحيات فردية + دعوة عبر SSO + صفحة /settings/staff</t>
        </is>
      </c>
      <c r="D15" s="5" t="inlineStr">
        <is>
          <t>§2.2، §6، STAFF-01</t>
        </is>
      </c>
      <c r="E15" s="5" t="inlineStr">
        <is>
          <t>توسعة: backend/app/Services/Pos/CashierManagementService.php</t>
        </is>
      </c>
      <c r="F15" s="5" t="inlineStr">
        <is>
          <t>BE+FE</t>
        </is>
      </c>
      <c r="G15" s="6" t="n">
        <v>1.25</v>
      </c>
      <c r="H15" s="5" t="inlineStr">
        <is>
          <t>لا</t>
        </is>
      </c>
      <c r="I15" s="14" t="inlineStr">
        <is>
          <t>⬜ لم يبدأ</t>
        </is>
      </c>
      <c r="J15" s="14" t="inlineStr">
        <is>
          <t>feat/m1-foundation</t>
        </is>
      </c>
      <c r="K15" s="14" t="inlineStr"/>
      <c r="L15" s="14" t="inlineStr"/>
    </row>
    <row r="16">
      <c r="A16" s="5" t="inlineStr">
        <is>
          <t>1.4</t>
        </is>
      </c>
      <c r="B16" s="5" t="inlineStr">
        <is>
          <t>M1</t>
        </is>
      </c>
      <c r="C16" s="5" t="inlineStr">
        <is>
          <t>المصادقة الثنائية TOTP: تفعيل، رموز استرداد، تحدٍّ بعد الدخول (SSO والدخول المحلي للأدمن)، step-up لإصدار/إلغاء الفواتير</t>
        </is>
      </c>
      <c r="D16" s="5" t="inlineStr">
        <is>
          <t>SEC-2FA، NFR-SEC</t>
        </is>
      </c>
      <c r="E16" s="5" t="inlineStr">
        <is>
          <t>جديد</t>
        </is>
      </c>
      <c r="F16" s="5" t="inlineStr">
        <is>
          <t>BE+FE</t>
        </is>
      </c>
      <c r="G16" s="6" t="n">
        <v>1.25</v>
      </c>
      <c r="H16" s="5" t="inlineStr">
        <is>
          <t>لا</t>
        </is>
      </c>
      <c r="I16" s="14" t="inlineStr">
        <is>
          <t>⬜ لم يبدأ</t>
        </is>
      </c>
      <c r="J16" s="14" t="inlineStr">
        <is>
          <t>feat/m1-foundation</t>
        </is>
      </c>
      <c r="K16" s="14" t="inlineStr"/>
      <c r="L16" s="14" t="inlineStr"/>
    </row>
    <row r="17">
      <c r="A17" s="5" t="inlineStr">
        <is>
          <t>1.5</t>
        </is>
      </c>
      <c r="B17" s="5" t="inlineStr">
        <is>
          <t>M1</t>
        </is>
      </c>
      <c r="C17" s="5" t="inlineStr">
        <is>
          <t>سجل التدقيق العام audit_logs + AuditLogger + شاشة عرض بفلاتر (من، ماذا، متى، لماذا)</t>
        </is>
      </c>
      <c r="D17" s="5" t="inlineStr">
        <is>
          <t>NFR-AUDIT</t>
        </is>
      </c>
      <c r="E17" s="5" t="inlineStr">
        <is>
          <t>جديد</t>
        </is>
      </c>
      <c r="F17" s="5" t="inlineStr">
        <is>
          <t>BE+FE</t>
        </is>
      </c>
      <c r="G17" s="6" t="n">
        <v>0.75</v>
      </c>
      <c r="H17" s="5" t="inlineStr">
        <is>
          <t>لا</t>
        </is>
      </c>
      <c r="I17" s="14" t="inlineStr">
        <is>
          <t>⬜ لم يبدأ</t>
        </is>
      </c>
      <c r="J17" s="14" t="inlineStr">
        <is>
          <t>feat/m1-foundation</t>
        </is>
      </c>
      <c r="K17" s="14" t="inlineStr"/>
      <c r="L17" s="14" t="inlineStr"/>
    </row>
    <row r="18">
      <c r="A18" s="5" t="inlineStr">
        <is>
          <t>1.6</t>
        </is>
      </c>
      <c r="B18" s="5" t="inlineStr">
        <is>
          <t>M1</t>
        </is>
      </c>
      <c r="C18" s="5" t="inlineStr">
        <is>
          <t>إطار الموافقات approval_requests + ApprovalHandler لكل نوع + إشعارات الطرفين + شاشة اعتماد/رفض بسيطة للسوبر أدمن (تُوحَّد في 8.6)</t>
        </is>
      </c>
      <c r="D18" s="5" t="inlineStr">
        <is>
          <t>FR-SA-05، FLOW-5</t>
        </is>
      </c>
      <c r="E18" s="5" t="inlineStr">
        <is>
          <t>جديد</t>
        </is>
      </c>
      <c r="F18" s="5" t="inlineStr">
        <is>
          <t>BE+FE</t>
        </is>
      </c>
      <c r="G18" s="6" t="n">
        <v>1</v>
      </c>
      <c r="H18" s="5" t="inlineStr">
        <is>
          <t>لا</t>
        </is>
      </c>
      <c r="I18" s="14" t="inlineStr">
        <is>
          <t>⬜ لم يبدأ</t>
        </is>
      </c>
      <c r="J18" s="14" t="inlineStr">
        <is>
          <t>feat/m1-foundation</t>
        </is>
      </c>
      <c r="K18" s="14" t="inlineStr"/>
      <c r="L18" s="14" t="inlineStr"/>
    </row>
    <row r="19">
      <c r="A19" s="5" t="inlineStr">
        <is>
          <t>1.7</t>
        </is>
      </c>
      <c r="B19" s="5" t="inlineStr">
        <is>
          <t>M1</t>
        </is>
      </c>
      <c r="C19" s="5" t="inlineStr">
        <is>
          <t>الإعدادات — عام: الوصف، التواصل، البنك/IBAN، المنطقة الزمنية (16)، العملة (8)، بيانات الواي فاي</t>
        </is>
      </c>
      <c r="D19" s="5" t="inlineStr">
        <is>
          <t>SET-GEN، NFR-I18N</t>
        </is>
      </c>
      <c r="E19" s="5" t="inlineStr">
        <is>
          <t>توسعة: تبويبات إعدادات المالك الحالية</t>
        </is>
      </c>
      <c r="F19" s="5" t="inlineStr">
        <is>
          <t>BE+FE</t>
        </is>
      </c>
      <c r="G19" s="6" t="n">
        <v>0.5</v>
      </c>
      <c r="H19" s="5" t="inlineStr">
        <is>
          <t>لا</t>
        </is>
      </c>
      <c r="I19" s="14" t="inlineStr">
        <is>
          <t>⬜ لم يبدأ</t>
        </is>
      </c>
      <c r="J19" s="14" t="inlineStr">
        <is>
          <t>feat/m1-foundation</t>
        </is>
      </c>
      <c r="K19" s="14" t="inlineStr"/>
      <c r="L19" s="14" t="inlineStr"/>
    </row>
    <row r="20">
      <c r="A20" s="5" t="inlineStr">
        <is>
          <t>1.8</t>
        </is>
      </c>
      <c r="B20" s="5" t="inlineStr">
        <is>
          <t>M1</t>
        </is>
      </c>
      <c r="C20" s="5" t="inlineStr">
        <is>
          <t>الإعدادات — التشغيل: السعة (مقاعد/مرنة/خاصة/غرف)، وضع الجلوس، ساعات وأيام العمل، أسعار الأنواع، الضريبة؛ الحفظ = «أرسل للموافقة»</t>
        </is>
      </c>
      <c r="D20" s="5" t="inlineStr">
        <is>
          <t>SET-OPS، FLOW-5</t>
        </is>
      </c>
      <c r="E20" s="5" t="inlineStr">
        <is>
          <t>توسعة: backend/app/Services/SeatTypePricingService.php</t>
        </is>
      </c>
      <c r="F20" s="5" t="inlineStr">
        <is>
          <t>BE+FE</t>
        </is>
      </c>
      <c r="G20" s="6" t="n">
        <v>1</v>
      </c>
      <c r="H20" s="5" t="inlineStr">
        <is>
          <t>لا</t>
        </is>
      </c>
      <c r="I20" s="14" t="inlineStr">
        <is>
          <t>⬜ لم يبدأ</t>
        </is>
      </c>
      <c r="J20" s="14" t="inlineStr">
        <is>
          <t>feat/m1-foundation</t>
        </is>
      </c>
      <c r="K20" s="14" t="inlineStr"/>
      <c r="L20" s="14" t="inlineStr"/>
    </row>
    <row r="21">
      <c r="A21" s="5" t="inlineStr">
        <is>
          <t>1.9</t>
        </is>
      </c>
      <c r="B21" s="5" t="inlineStr">
        <is>
          <t>M1</t>
        </is>
      </c>
      <c r="C21" s="5" t="inlineStr">
        <is>
          <t>الإعدادات — منطقة الخطر: إعادة تعيين المساحة عبر سجل WorkspaceResetter تمدّده كل وحدة لاحقة (الشبكة، المالية، GSG) — تحذف التشغيل وتُبقي الهوية والتكوين والمالك + تأكيد مزدوج و2FA</t>
        </is>
      </c>
      <c r="D21" s="5" t="inlineStr">
        <is>
          <t>SET-DNG</t>
        </is>
      </c>
      <c r="E21" s="5" t="inlineStr">
        <is>
          <t>جديد</t>
        </is>
      </c>
      <c r="F21" s="5" t="inlineStr">
        <is>
          <t>BE+FE</t>
        </is>
      </c>
      <c r="G21" s="6" t="n">
        <v>0.5</v>
      </c>
      <c r="H21" s="5" t="inlineStr">
        <is>
          <t>لا</t>
        </is>
      </c>
      <c r="I21" s="14" t="inlineStr">
        <is>
          <t>⬜ لم يبدأ</t>
        </is>
      </c>
      <c r="J21" s="14" t="inlineStr">
        <is>
          <t>feat/m1-foundation</t>
        </is>
      </c>
      <c r="K21" s="14" t="inlineStr"/>
      <c r="L21" s="14" t="inlineStr"/>
    </row>
    <row r="22">
      <c r="A22" s="5" t="inlineStr">
        <is>
          <t>1.10</t>
        </is>
      </c>
      <c r="B22" s="5" t="inlineStr">
        <is>
          <t>M1</t>
        </is>
      </c>
      <c r="C22" s="5" t="inlineStr">
        <is>
          <t>Feature flags لكل مساحة (network، finance_v2، gsg) وإخفاء القوائم غير المفعّلة</t>
        </is>
      </c>
      <c r="D22" s="5" t="inlineStr">
        <is>
          <t>—</t>
        </is>
      </c>
      <c r="E22" s="5" t="inlineStr">
        <is>
          <t>جديد</t>
        </is>
      </c>
      <c r="F22" s="5" t="inlineStr">
        <is>
          <t>BE+FE</t>
        </is>
      </c>
      <c r="G22" s="6" t="n">
        <v>0.25</v>
      </c>
      <c r="H22" s="5" t="inlineStr">
        <is>
          <t>لا</t>
        </is>
      </c>
      <c r="I22" s="14" t="inlineStr">
        <is>
          <t>⬜ لم يبدأ</t>
        </is>
      </c>
      <c r="J22" s="14" t="inlineStr">
        <is>
          <t>feat/m1-foundation</t>
        </is>
      </c>
      <c r="K22" s="14" t="inlineStr"/>
      <c r="L22" s="14" t="inlineStr"/>
    </row>
    <row r="23">
      <c r="A23" s="5" t="inlineStr">
        <is>
          <t>1.11</t>
        </is>
      </c>
      <c r="B23" s="5" t="inlineStr">
        <is>
          <t>M1</t>
        </is>
      </c>
      <c r="C23" s="5" t="inlineStr">
        <is>
          <t>هيكل القائمة الجديد: الرئيسية، التجاري، المالية، برنامج GSG، التحليلات، الأماكن، الإعدادات + حالات فارغة موجّهة</t>
        </is>
      </c>
      <c r="D23" s="5" t="inlineStr">
        <is>
          <t>§2.1، NFR-UX</t>
        </is>
      </c>
      <c r="E23" s="5" t="inlineStr">
        <is>
          <t>توسعة: frontend/src/components/layout/nav-config.ts</t>
        </is>
      </c>
      <c r="F23" s="5" t="inlineStr">
        <is>
          <t>FE</t>
        </is>
      </c>
      <c r="G23" s="6" t="n">
        <v>0.5</v>
      </c>
      <c r="H23" s="5" t="inlineStr">
        <is>
          <t>لا</t>
        </is>
      </c>
      <c r="I23" s="14" t="inlineStr">
        <is>
          <t>⬜ لم يبدأ</t>
        </is>
      </c>
      <c r="J23" s="14" t="inlineStr">
        <is>
          <t>feat/m1-foundation</t>
        </is>
      </c>
      <c r="K23" s="14" t="inlineStr"/>
      <c r="L23" s="14" t="inlineStr"/>
    </row>
    <row r="24">
      <c r="A24" s="5" t="inlineStr">
        <is>
          <t>1.12</t>
        </is>
      </c>
      <c r="B24" s="5" t="inlineStr">
        <is>
          <t>M1</t>
        </is>
      </c>
      <c r="C24" s="5" t="inlineStr">
        <is>
          <t>اختصارات لوحة المفاتيح (Alt+S/A/R/L، F2، T/C/D، R، ⌘S) + نافذة مساعدة</t>
        </is>
      </c>
      <c r="D24" s="5" t="inlineStr">
        <is>
          <t>UX-KBD، NFR-UX</t>
        </is>
      </c>
      <c r="E24" s="5" t="inlineStr">
        <is>
          <t>توسعة: frontend/src/components/layout/DashShell.tsx (Escape فقط)</t>
        </is>
      </c>
      <c r="F24" s="5" t="inlineStr">
        <is>
          <t>FE</t>
        </is>
      </c>
      <c r="G24" s="6" t="n">
        <v>0.5</v>
      </c>
      <c r="H24" s="5" t="inlineStr">
        <is>
          <t>نعم</t>
        </is>
      </c>
      <c r="I24" s="14" t="inlineStr">
        <is>
          <t>⬜ لم يبدأ</t>
        </is>
      </c>
      <c r="J24" s="14" t="inlineStr">
        <is>
          <t>feat/m1-foundation</t>
        </is>
      </c>
      <c r="K24" s="14" t="inlineStr"/>
      <c r="L24" s="14" t="inlineStr"/>
    </row>
    <row r="25">
      <c r="A25" s="5" t="inlineStr">
        <is>
          <t>1.13</t>
        </is>
      </c>
      <c r="B25" s="5" t="inlineStr">
        <is>
          <t>M1</t>
        </is>
      </c>
      <c r="C25" s="5" t="inlineStr">
        <is>
          <t>المشترك بلا حساب SSO: سجل User بلا sso_sub يُنشأ من الاستيراد أو اكتشاف الأجهزة أو تسجيل الضيف، ودمج/مطالبة عند أول دخول SSO</t>
        </is>
      </c>
      <c r="D25" s="5" t="inlineStr">
        <is>
          <t>§2.2، ENT-Subscriber</t>
        </is>
      </c>
      <c r="E25" s="5" t="inlineStr">
        <is>
          <t>توسعة: backend/app/Services/Auth/TaqatSsoService.php</t>
        </is>
      </c>
      <c r="F25" s="5" t="inlineStr">
        <is>
          <t>BE</t>
        </is>
      </c>
      <c r="G25" s="6" t="n">
        <v>0.75</v>
      </c>
      <c r="H25" s="5" t="inlineStr">
        <is>
          <t>لا</t>
        </is>
      </c>
      <c r="I25" s="14" t="inlineStr">
        <is>
          <t>⬜ لم يبدأ</t>
        </is>
      </c>
      <c r="J25" s="14" t="inlineStr">
        <is>
          <t>feat/m1-foundation</t>
        </is>
      </c>
      <c r="K25" s="14" t="inlineStr"/>
      <c r="L25" s="14" t="inlineStr"/>
    </row>
    <row r="26">
      <c r="A26" s="5" t="inlineStr">
        <is>
          <t>1.14</t>
        </is>
      </c>
      <c r="B26" s="5" t="inlineStr">
        <is>
          <t>M1</t>
        </is>
      </c>
      <c r="C26" s="5" t="inlineStr">
        <is>
          <t>تبويب «النطاق وDNS»: عرض رابط اللوحة والموقع العام + تحويل /w/{slug} إلى لوحة المالك</t>
        </is>
      </c>
      <c r="D26" s="5" t="inlineStr">
        <is>
          <t>SET-DNS، §1.3</t>
        </is>
      </c>
      <c r="E26" s="5" t="inlineStr">
        <is>
          <t>جديد</t>
        </is>
      </c>
      <c r="F26" s="5" t="inlineStr">
        <is>
          <t>FE</t>
        </is>
      </c>
      <c r="G26" s="6" t="n">
        <v>0.25</v>
      </c>
      <c r="H26" s="5" t="inlineStr">
        <is>
          <t>لا</t>
        </is>
      </c>
      <c r="I26" s="14" t="inlineStr">
        <is>
          <t>⬜ لم يبدأ</t>
        </is>
      </c>
      <c r="J26" s="14" t="inlineStr">
        <is>
          <t>feat/m1-foundation</t>
        </is>
      </c>
      <c r="K26" s="14" t="inlineStr"/>
      <c r="L26" s="14" t="inlineStr"/>
    </row>
    <row r="27">
      <c r="A27" s="5" t="inlineStr">
        <is>
          <t>2.1</t>
        </is>
      </c>
      <c r="B27" s="5" t="inlineStr">
        <is>
          <t>M2</t>
        </is>
      </c>
      <c r="C27" s="5" t="inlineStr">
        <is>
          <t>نموذج الراوتر routers (رمز، مفتاح مُجزّأ + سابق بفترة سماح، رقم تسلسلي، إصدارات، حالة) + router_api_logs</t>
        </is>
      </c>
      <c r="D27" s="5" t="inlineStr">
        <is>
          <t>ملحق ب</t>
        </is>
      </c>
      <c r="E27" s="5" t="inlineStr">
        <is>
          <t>جديد</t>
        </is>
      </c>
      <c r="F27" s="5" t="inlineStr">
        <is>
          <t>BE</t>
        </is>
      </c>
      <c r="G27" s="6" t="n">
        <v>0.5</v>
      </c>
      <c r="H27" s="5" t="inlineStr">
        <is>
          <t>لا</t>
        </is>
      </c>
      <c r="I27" s="14" t="inlineStr">
        <is>
          <t>⬜ لم يبدأ</t>
        </is>
      </c>
      <c r="J27" s="14" t="inlineStr">
        <is>
          <t>feat/m2-mikrotik-sync</t>
        </is>
      </c>
      <c r="K27" s="14" t="inlineStr"/>
      <c r="L27" s="14" t="inlineStr"/>
    </row>
    <row r="28">
      <c r="A28" s="5" t="inlineStr">
        <is>
          <t>2.2</t>
        </is>
      </c>
      <c r="B28" s="5" t="inlineStr">
        <is>
          <t>M2</t>
        </is>
      </c>
      <c r="C28" s="5" t="inlineStr">
        <is>
          <t>مولّد المثبّت install.rsc لكل راوتر برمز تثبيت لمرة واحدة (30 دقيقة) وcheck-certificate=yes</t>
        </is>
      </c>
      <c r="D28" s="5" t="inlineStr">
        <is>
          <t>ملحق ب §ب.2، §ب.5</t>
        </is>
      </c>
      <c r="E28" s="5" t="inlineStr">
        <is>
          <t>جديد</t>
        </is>
      </c>
      <c r="F28" s="5" t="inlineStr">
        <is>
          <t>BE</t>
        </is>
      </c>
      <c r="G28" s="6" t="n">
        <v>0.75</v>
      </c>
      <c r="H28" s="5" t="inlineStr">
        <is>
          <t>لا</t>
        </is>
      </c>
      <c r="I28" s="14" t="inlineStr">
        <is>
          <t>⬜ لم يبدأ</t>
        </is>
      </c>
      <c r="J28" s="14" t="inlineStr">
        <is>
          <t>feat/m2-mikrotik-sync</t>
        </is>
      </c>
      <c r="K28" s="14" t="inlineStr"/>
      <c r="L28" s="14" t="inlineStr"/>
    </row>
    <row r="29">
      <c r="A29" s="5" t="inlineStr">
        <is>
          <t>2.3</t>
        </is>
      </c>
      <c r="B29" s="5" t="inlineStr">
        <is>
          <t>M2</t>
        </is>
      </c>
      <c r="C29" s="5" t="inlineStr">
        <is>
          <t>سكربتات RouterOS 7.12+: فحوص مسبقة، خطافات on-login/on-logout، مخازن RAM، مجدول 50 ث، لقطة 30 د مجزّأة، seq دائم على flash، مفسّر أوامر بقائمة مسموحة، shared-users=1 وملف visitor، وضع «استطلاع فقط» للتشغيل المتوازي</t>
        </is>
      </c>
      <c r="D29" s="5" t="inlineStr">
        <is>
          <t>ملحق ب §ب.2–ب.3</t>
        </is>
      </c>
      <c r="E29" s="5" t="inlineStr">
        <is>
          <t>جديد</t>
        </is>
      </c>
      <c r="F29" s="5" t="inlineStr">
        <is>
          <t>BE</t>
        </is>
      </c>
      <c r="G29" s="6" t="n">
        <v>3</v>
      </c>
      <c r="H29" s="5" t="inlineStr">
        <is>
          <t>لا</t>
        </is>
      </c>
      <c r="I29" s="14" t="inlineStr">
        <is>
          <t>⬜ لم يبدأ</t>
        </is>
      </c>
      <c r="J29" s="14" t="inlineStr">
        <is>
          <t>feat/m2-mikrotik-sync</t>
        </is>
      </c>
      <c r="K29" s="14" t="inlineStr"/>
      <c r="L29" s="14" t="inlineStr"/>
    </row>
    <row r="30">
      <c r="A30" s="5" t="inlineStr">
        <is>
          <t>2.4</t>
        </is>
      </c>
      <c r="B30" s="5" t="inlineStr">
        <is>
          <t>M2</t>
        </is>
      </c>
      <c r="C30" s="5" t="inlineStr">
        <is>
          <t>POST /api/v1/hotspot/{code}/sync + AuthenticateRouter + rate limit + التخزين الخام hotspot_events (منع التكرار event_uid) وrouter_snapshots وأجزاؤها + batch_id + تصحيح انحراف الساعة + رد نصي</t>
        </is>
      </c>
      <c r="D30" s="5" t="inlineStr">
        <is>
          <t>ملحق ب §ب.3، NFR-SEC</t>
        </is>
      </c>
      <c r="E30" s="5" t="inlineStr">
        <is>
          <t>توسعة: نمط backend/app/Http/Middleware/AuthenticatePartner.php</t>
        </is>
      </c>
      <c r="F30" s="5" t="inlineStr">
        <is>
          <t>BE</t>
        </is>
      </c>
      <c r="G30" s="6" t="n">
        <v>2</v>
      </c>
      <c r="H30" s="5" t="inlineStr">
        <is>
          <t>لا</t>
        </is>
      </c>
      <c r="I30" s="14" t="inlineStr">
        <is>
          <t>⬜ لم يبدأ</t>
        </is>
      </c>
      <c r="J30" s="14" t="inlineStr">
        <is>
          <t>feat/m2-mikrotik-sync</t>
        </is>
      </c>
      <c r="K30" s="14" t="inlineStr"/>
      <c r="L30" s="14" t="inlineStr"/>
    </row>
    <row r="31">
      <c r="A31" s="5" t="inlineStr">
        <is>
          <t>2.5</t>
        </is>
      </c>
      <c r="B31" s="5" t="inlineStr">
        <is>
          <t>M2</t>
        </is>
      </c>
      <c r="C31" s="5" t="inlineStr">
        <is>
          <t>طابور الأوامر router_commands (requested→delivered→acknowledged، إعادة الإرسال، الانتهاء) بأفعال: upsert-user، upsert-profile، disable-user، remove-active، block-mac، set-key، update-script</t>
        </is>
      </c>
      <c r="D31" s="5" t="inlineStr">
        <is>
          <t>ملحق ب §ب.3</t>
        </is>
      </c>
      <c r="E31" s="5" t="inlineStr">
        <is>
          <t>جديد</t>
        </is>
      </c>
      <c r="F31" s="5" t="inlineStr">
        <is>
          <t>BE</t>
        </is>
      </c>
      <c r="G31" s="6" t="n">
        <v>1.25</v>
      </c>
      <c r="H31" s="5" t="inlineStr">
        <is>
          <t>لا</t>
        </is>
      </c>
      <c r="I31" s="14" t="inlineStr">
        <is>
          <t>⬜ لم يبدأ</t>
        </is>
      </c>
      <c r="J31" s="14" t="inlineStr">
        <is>
          <t>feat/m2-mikrotik-sync</t>
        </is>
      </c>
      <c r="K31" s="14" t="inlineStr"/>
      <c r="L31" s="14" t="inlineStr"/>
    </row>
    <row r="32">
      <c r="A32" s="5" t="inlineStr">
        <is>
          <t>2.6</t>
        </is>
      </c>
      <c r="B32" s="5" t="inlineStr">
        <is>
          <t>M2</t>
        </is>
      </c>
      <c r="C32" s="5" t="inlineStr">
        <is>
          <t>hotspot_accounts (فريد لكل مساحة) + ترحيل subscriptions.internet_username + ربط InternetAccessService بأوامر upsert/disable عند الموافقة والتعليق والانتهاء + ترجمة الباقات/الخطط إلى ملفات هوتسبوت (rate-limit، limit-bytes-total، shared-users=1، الصلاحية)</t>
        </is>
      </c>
      <c r="D32" s="5" t="inlineStr">
        <is>
          <t>§4، FR-FL-01، §2.3</t>
        </is>
      </c>
      <c r="E32" s="5" t="inlineStr">
        <is>
          <t>توسعة: backend/app/Services/InternetAccessService.php</t>
        </is>
      </c>
      <c r="F32" s="5" t="inlineStr">
        <is>
          <t>BE</t>
        </is>
      </c>
      <c r="G32" s="6" t="n">
        <v>1.25</v>
      </c>
      <c r="H32" s="5" t="inlineStr">
        <is>
          <t>لا</t>
        </is>
      </c>
      <c r="I32" s="14" t="inlineStr">
        <is>
          <t>⬜ لم يبدأ</t>
        </is>
      </c>
      <c r="J32" s="14" t="inlineStr">
        <is>
          <t>feat/m2-mikrotik-sync</t>
        </is>
      </c>
      <c r="K32" s="14" t="inlineStr"/>
      <c r="L32" s="14" t="inlineStr"/>
    </row>
    <row r="33">
      <c r="A33" s="5" t="inlineStr">
        <is>
          <t>2.7</t>
        </is>
      </c>
      <c r="B33" s="5" t="inlineStr">
        <is>
          <t>M2</t>
        </is>
      </c>
      <c r="C33" s="5" t="inlineStr">
        <is>
          <t>قفل الراوتر بالرقم التسلسلي + «فتح جهاز التوجيه» + إعادة إنشاء/تدوير مفتاح API دون إعادة تثبيت (set-key)</t>
        </is>
      </c>
      <c r="D33" s="5" t="inlineStr">
        <is>
          <t>ملحق ب §ب.5</t>
        </is>
      </c>
      <c r="E33" s="5" t="inlineStr">
        <is>
          <t>جديد</t>
        </is>
      </c>
      <c r="F33" s="5" t="inlineStr">
        <is>
          <t>BE</t>
        </is>
      </c>
      <c r="G33" s="6" t="n">
        <v>0.5</v>
      </c>
      <c r="H33" s="5" t="inlineStr">
        <is>
          <t>لا</t>
        </is>
      </c>
      <c r="I33" s="14" t="inlineStr">
        <is>
          <t>⬜ لم يبدأ</t>
        </is>
      </c>
      <c r="J33" s="14" t="inlineStr">
        <is>
          <t>feat/m2-mikrotik-sync</t>
        </is>
      </c>
      <c r="K33" s="14" t="inlineStr"/>
      <c r="L33" s="14" t="inlineStr"/>
    </row>
    <row r="34">
      <c r="A34" s="5" t="inlineStr">
        <is>
          <t>2.8</t>
        </is>
      </c>
      <c r="B34" s="5" t="inlineStr">
        <is>
          <t>M2</t>
        </is>
      </c>
      <c r="C34" s="5" t="inlineStr">
        <is>
          <t>التحديث التلقائي للسكربتات (إصدار + sha + تأكيد المالك) + «دفع التحديث الكامل»</t>
        </is>
      </c>
      <c r="D34" s="5" t="inlineStr">
        <is>
          <t>ملحق ب §ب.5</t>
        </is>
      </c>
      <c r="E34" s="5" t="inlineStr">
        <is>
          <t>جديد</t>
        </is>
      </c>
      <c r="F34" s="5" t="inlineStr">
        <is>
          <t>BE</t>
        </is>
      </c>
      <c r="G34" s="6" t="n">
        <v>0.5</v>
      </c>
      <c r="H34" s="5" t="inlineStr">
        <is>
          <t>لا</t>
        </is>
      </c>
      <c r="I34" s="14" t="inlineStr">
        <is>
          <t>⬜ لم يبدأ</t>
        </is>
      </c>
      <c r="J34" s="14" t="inlineStr">
        <is>
          <t>feat/m2-mikrotik-sync</t>
        </is>
      </c>
      <c r="K34" s="14" t="inlineStr"/>
      <c r="L34" s="14" t="inlineStr"/>
    </row>
    <row r="35">
      <c r="A35" s="5" t="inlineStr">
        <is>
          <t>2.9</t>
        </is>
      </c>
      <c r="B35" s="5" t="inlineStr">
        <is>
          <t>M2</t>
        </is>
      </c>
      <c r="C35" s="5" t="inlineStr">
        <is>
          <t>صفحة «API والتكامل»: حالة المزامنة، بطاقة الراوتر، رمز المساحة، نقطة النهاية، المثبّت، الأوامر، إعادة إنشاء المفتاح</t>
        </is>
      </c>
      <c r="D35" s="5" t="inlineStr">
        <is>
          <t>SET-API</t>
        </is>
      </c>
      <c r="E35" s="5" t="inlineStr">
        <is>
          <t>جديد</t>
        </is>
      </c>
      <c r="F35" s="5" t="inlineStr">
        <is>
          <t>FE</t>
        </is>
      </c>
      <c r="G35" s="6" t="n">
        <v>0.75</v>
      </c>
      <c r="H35" s="5" t="inlineStr">
        <is>
          <t>لا</t>
        </is>
      </c>
      <c r="I35" s="14" t="inlineStr">
        <is>
          <t>⬜ لم يبدأ</t>
        </is>
      </c>
      <c r="J35" s="14" t="inlineStr">
        <is>
          <t>feat/m2-mikrotik-sync</t>
        </is>
      </c>
      <c r="K35" s="14" t="inlineStr"/>
      <c r="L35" s="14" t="inlineStr"/>
    </row>
    <row r="36">
      <c r="A36" s="5" t="inlineStr">
        <is>
          <t>2.10</t>
        </is>
      </c>
      <c r="B36" s="5" t="inlineStr">
        <is>
          <t>M2</t>
        </is>
      </c>
      <c r="C36" s="5" t="inlineStr">
        <is>
          <t>صفحة «تشخيصات API»: سجل الطلبات، فلاتر، تحديث كل 30 ث، مركز التشخيص والفحص العميق</t>
        </is>
      </c>
      <c r="D36" s="5" t="inlineStr">
        <is>
          <t>SET-API</t>
        </is>
      </c>
      <c r="E36" s="5" t="inlineStr">
        <is>
          <t>جديد</t>
        </is>
      </c>
      <c r="F36" s="5" t="inlineStr">
        <is>
          <t>BE+FE</t>
        </is>
      </c>
      <c r="G36" s="6" t="n">
        <v>0.5</v>
      </c>
      <c r="H36" s="5" t="inlineStr">
        <is>
          <t>لا</t>
        </is>
      </c>
      <c r="I36" s="14" t="inlineStr">
        <is>
          <t>⬜ لم يبدأ</t>
        </is>
      </c>
      <c r="J36" s="14" t="inlineStr">
        <is>
          <t>feat/m2-mikrotik-sync</t>
        </is>
      </c>
      <c r="K36" s="14" t="inlineStr"/>
      <c r="L36" s="14" t="inlineStr"/>
    </row>
    <row r="37">
      <c r="A37" s="5" t="inlineStr">
        <is>
          <t>2.11</t>
        </is>
      </c>
      <c r="B37" s="5" t="inlineStr">
        <is>
          <t>M2</t>
        </is>
      </c>
      <c r="C37" s="5" t="inlineStr">
        <is>
          <t>محاكي الراوتر hotspot:simulate (461 مشتركًا، 1,149 جهازًا، انقطاعات، تكرارات، انحراف ساعة، اندفاع إعادة الإقلاع) + FakeRouterTransport</t>
        </is>
      </c>
      <c r="D37" s="5" t="inlineStr">
        <is>
          <t>—</t>
        </is>
      </c>
      <c r="E37" s="5" t="inlineStr">
        <is>
          <t>جديد</t>
        </is>
      </c>
      <c r="F37" s="5" t="inlineStr">
        <is>
          <t>BE</t>
        </is>
      </c>
      <c r="G37" s="6" t="n">
        <v>1</v>
      </c>
      <c r="H37" s="5" t="inlineStr">
        <is>
          <t>لا</t>
        </is>
      </c>
      <c r="I37" s="14" t="inlineStr">
        <is>
          <t>⬜ لم يبدأ</t>
        </is>
      </c>
      <c r="J37" s="14" t="inlineStr">
        <is>
          <t>feat/m2-mikrotik-sync</t>
        </is>
      </c>
      <c r="K37" s="14" t="inlineStr"/>
      <c r="L37" s="14" t="inlineStr"/>
    </row>
    <row r="38">
      <c r="A38" s="5" t="inlineStr">
        <is>
          <t>2.12</t>
        </is>
      </c>
      <c r="B38" s="5" t="inlineStr">
        <is>
          <t>M2</t>
        </is>
      </c>
      <c r="C38" s="5" t="inlineStr">
        <is>
          <t>اختبار على MikroTik CHR ثم راوتر حقيقي: انقطاع ساعة، إعادة تشغيل، 2,048 جلسة، رفض مفتاح من راوتر آخر</t>
        </is>
      </c>
      <c r="D38" s="5" t="inlineStr">
        <is>
          <t>—</t>
        </is>
      </c>
      <c r="E38" s="5" t="inlineStr">
        <is>
          <t>جديد</t>
        </is>
      </c>
      <c r="F38" s="5" t="inlineStr">
        <is>
          <t>QA</t>
        </is>
      </c>
      <c r="G38" s="6" t="n">
        <v>1.5</v>
      </c>
      <c r="H38" s="5" t="inlineStr">
        <is>
          <t>لا</t>
        </is>
      </c>
      <c r="I38" s="14" t="inlineStr">
        <is>
          <t>⬜ لم يبدأ</t>
        </is>
      </c>
      <c r="J38" s="14" t="inlineStr">
        <is>
          <t>feat/m2-mikrotik-sync</t>
        </is>
      </c>
      <c r="K38" s="14" t="inlineStr"/>
      <c r="L38" s="14" t="inlineStr"/>
    </row>
    <row r="39">
      <c r="A39" s="5" t="inlineStr">
        <is>
          <t>2.14</t>
        </is>
      </c>
      <c r="B39" s="5" t="inlineStr">
        <is>
          <t>M2</t>
        </is>
      </c>
      <c r="C39" s="5" t="inlineStr">
        <is>
          <t>نقل الإنتاج من cPanel إلى الـ VPS: نسخ القاعدة، تبديل DNS لـ api/taqat/sync، مراقبة 48 ساعة، إيقاف cPanel بعد أسبوعين — قبل 2.13</t>
        </is>
      </c>
      <c r="D39" s="5" t="inlineStr">
        <is>
          <t>NFR-PERF</t>
        </is>
      </c>
      <c r="E39" s="5" t="inlineStr">
        <is>
          <t>جديد</t>
        </is>
      </c>
      <c r="F39" s="5" t="inlineStr">
        <is>
          <t>Ops</t>
        </is>
      </c>
      <c r="G39" s="6" t="n">
        <v>0.75</v>
      </c>
      <c r="H39" s="5" t="inlineStr">
        <is>
          <t>لا</t>
        </is>
      </c>
      <c r="I39" s="14" t="inlineStr">
        <is>
          <t>⬜ لم يبدأ</t>
        </is>
      </c>
      <c r="J39" s="14" t="inlineStr">
        <is>
          <t>feat/m2-mikrotik-sync</t>
        </is>
      </c>
      <c r="K39" s="14" t="inlineStr"/>
      <c r="L39" s="14" t="inlineStr"/>
    </row>
    <row r="40">
      <c r="A40" s="5" t="inlineStr">
        <is>
          <t>2.13</t>
        </is>
      </c>
      <c r="B40" s="5" t="inlineStr">
        <is>
          <t>M2</t>
        </is>
      </c>
      <c r="C40" s="5" t="inlineStr">
        <is>
          <t>إطلاق التشغيل المتوازي على راوتر TAQAT GAZA (بجانب سكربت CoWorkSpaces) ومراقبته</t>
        </is>
      </c>
      <c r="D40" s="5" t="inlineStr">
        <is>
          <t>—</t>
        </is>
      </c>
      <c r="E40" s="5" t="inlineStr">
        <is>
          <t>جديد</t>
        </is>
      </c>
      <c r="F40" s="5" t="inlineStr">
        <is>
          <t>Ops</t>
        </is>
      </c>
      <c r="G40" s="6" t="n">
        <v>0.25</v>
      </c>
      <c r="H40" s="5" t="inlineStr">
        <is>
          <t>لا</t>
        </is>
      </c>
      <c r="I40" s="14" t="inlineStr">
        <is>
          <t>⬜ لم يبدأ</t>
        </is>
      </c>
      <c r="J40" s="14" t="inlineStr">
        <is>
          <t>feat/m2-mikrotik-sync</t>
        </is>
      </c>
      <c r="K40" s="14" t="inlineStr"/>
      <c r="L40" s="14" t="inlineStr"/>
    </row>
    <row r="41">
      <c r="A41" s="5" t="inlineStr">
        <is>
          <t>3.1</t>
        </is>
      </c>
      <c r="B41" s="5" t="inlineStr">
        <is>
          <t>M3</t>
        </is>
      </c>
      <c r="C41" s="5" t="inlineStr">
        <is>
          <t>تجميع اللقطات المجزّأة (المخزّنة في 2.4) + device_presence (متصلون الآن) + معالجة الأحداث المخزّنة</t>
        </is>
      </c>
      <c r="D41" s="5" t="inlineStr">
        <is>
          <t>ملحق ب §ب.3، ENT-Device</t>
        </is>
      </c>
      <c r="E41" s="5" t="inlineStr">
        <is>
          <t>جديد</t>
        </is>
      </c>
      <c r="F41" s="5" t="inlineStr">
        <is>
          <t>BE</t>
        </is>
      </c>
      <c r="G41" s="6" t="n">
        <v>1</v>
      </c>
      <c r="H41" s="5" t="inlineStr">
        <is>
          <t>لا</t>
        </is>
      </c>
      <c r="I41" s="14" t="inlineStr">
        <is>
          <t>⬜ لم يبدأ</t>
        </is>
      </c>
      <c r="J41" s="14" t="inlineStr">
        <is>
          <t>feat/m3-data-engine</t>
        </is>
      </c>
      <c r="K41" s="14" t="inlineStr"/>
      <c r="L41" s="14" t="inlineStr"/>
    </row>
    <row r="42">
      <c r="A42" s="5" t="inlineStr">
        <is>
          <t>3.2</t>
        </is>
      </c>
      <c r="B42" s="5" t="inlineStr">
        <is>
          <t>M3</t>
        </is>
      </c>
      <c r="C42" s="5" t="inlineStr">
        <is>
          <t>الربط: اسم مستخدم الهوتسبوت ← المشترك، MAC ← الجهاز (devices)، إنشاء تلقائي للمكتشف</t>
        </is>
      </c>
      <c r="D42" s="5" t="inlineStr">
        <is>
          <t>ملحق ب §ب.4، §2.4</t>
        </is>
      </c>
      <c r="E42" s="5" t="inlineStr">
        <is>
          <t>جديد</t>
        </is>
      </c>
      <c r="F42" s="5" t="inlineStr">
        <is>
          <t>BE</t>
        </is>
      </c>
      <c r="G42" s="6" t="n">
        <v>1</v>
      </c>
      <c r="H42" s="5" t="inlineStr">
        <is>
          <t>لا</t>
        </is>
      </c>
      <c r="I42" s="14" t="inlineStr">
        <is>
          <t>⬜ لم يبدأ</t>
        </is>
      </c>
      <c r="J42" s="14" t="inlineStr">
        <is>
          <t>feat/m3-data-engine</t>
        </is>
      </c>
      <c r="K42" s="14" t="inlineStr"/>
      <c r="L42" s="14" t="inlineStr"/>
    </row>
    <row r="43">
      <c r="A43" s="5" t="inlineStr">
        <is>
          <t>3.3</t>
        </is>
      </c>
      <c r="B43" s="5" t="inlineStr">
        <is>
          <t>M3</t>
        </is>
      </c>
      <c r="C43" s="5" t="inlineStr">
        <is>
          <t>بناء الجلسات hotspot_sessions (حدث/لقطة/مهلة/إعادة إقلاع) تحت قفل Redis لكل راوتر</t>
        </is>
      </c>
      <c r="D43" s="5" t="inlineStr">
        <is>
          <t>FR-NET-03</t>
        </is>
      </c>
      <c r="E43" s="5" t="inlineStr">
        <is>
          <t>جديد</t>
        </is>
      </c>
      <c r="F43" s="5" t="inlineStr">
        <is>
          <t>BE</t>
        </is>
      </c>
      <c r="G43" s="6" t="n">
        <v>1.5</v>
      </c>
      <c r="H43" s="5" t="inlineStr">
        <is>
          <t>لا</t>
        </is>
      </c>
      <c r="I43" s="14" t="inlineStr">
        <is>
          <t>⬜ لم يبدأ</t>
        </is>
      </c>
      <c r="J43" s="14" t="inlineStr">
        <is>
          <t>feat/m3-data-engine</t>
        </is>
      </c>
      <c r="K43" s="14" t="inlineStr"/>
      <c r="L43" s="14" t="inlineStr"/>
    </row>
    <row r="44">
      <c r="A44" s="5" t="inlineStr">
        <is>
          <t>3.4</t>
        </is>
      </c>
      <c r="B44" s="5" t="inlineStr">
        <is>
          <t>M3</t>
        </is>
      </c>
      <c r="C44" s="5" t="inlineStr">
        <is>
          <t>الحضور اليومي attendance_daily (bitmap 48 خانة، اتحاد فترات الأجهزة) بالأنماط الأربعة Active Actual / Day Span / Hour Bucket / Half-Hour، بحدود اليوم في المنطقة الزمنية للمساحة (1.7)</t>
        </is>
      </c>
      <c r="D44" s="5" t="inlineStr">
        <is>
          <t>FR-TRK-02</t>
        </is>
      </c>
      <c r="E44" s="5" t="inlineStr">
        <is>
          <t>جديد</t>
        </is>
      </c>
      <c r="F44" s="5" t="inlineStr">
        <is>
          <t>BE</t>
        </is>
      </c>
      <c r="G44" s="6" t="n">
        <v>2</v>
      </c>
      <c r="H44" s="5" t="inlineStr">
        <is>
          <t>لا</t>
        </is>
      </c>
      <c r="I44" s="14" t="inlineStr">
        <is>
          <t>⬜ لم يبدأ</t>
        </is>
      </c>
      <c r="J44" s="14" t="inlineStr">
        <is>
          <t>feat/m3-data-engine</t>
        </is>
      </c>
      <c r="K44" s="14" t="inlineStr"/>
      <c r="L44" s="14" t="inlineStr"/>
    </row>
    <row r="45">
      <c r="A45" s="5" t="inlineStr">
        <is>
          <t>3.5</t>
        </is>
      </c>
      <c r="B45" s="5" t="inlineStr">
        <is>
          <t>M3</t>
        </is>
      </c>
      <c r="C45" s="5" t="inlineStr">
        <is>
          <t>الإحصاءات اليومية والأسبوعية والشهرية للمساحة والمشترك + «إعادة الحساب» لمدى تاريخي (أمر + زر في «الأدوات» للمالك)</t>
        </is>
      </c>
      <c r="D45" s="5" t="inlineStr">
        <is>
          <t>§7.1 الأداء</t>
        </is>
      </c>
      <c r="E45" s="5" t="inlineStr">
        <is>
          <t>جديد</t>
        </is>
      </c>
      <c r="F45" s="5" t="inlineStr">
        <is>
          <t>BE+FE</t>
        </is>
      </c>
      <c r="G45" s="6" t="n">
        <v>1.25</v>
      </c>
      <c r="H45" s="5" t="inlineStr">
        <is>
          <t>لا</t>
        </is>
      </c>
      <c r="I45" s="14" t="inlineStr">
        <is>
          <t>⬜ لم يبدأ</t>
        </is>
      </c>
      <c r="J45" s="14" t="inlineStr">
        <is>
          <t>feat/m3-data-engine</t>
        </is>
      </c>
      <c r="K45" s="14" t="inlineStr"/>
      <c r="L45" s="14" t="inlineStr"/>
    </row>
    <row r="46">
      <c r="A46" s="5" t="inlineStr">
        <is>
          <t>3.6</t>
        </is>
      </c>
      <c r="B46" s="5" t="inlineStr">
        <is>
          <t>M3</t>
        </is>
      </c>
      <c r="C46" s="5" t="inlineStr">
        <is>
          <t>كشف الفجوات router_gaps وأيام البيانات المفقودة ووسمها في الحضور</t>
        </is>
      </c>
      <c r="D46" s="5" t="inlineStr">
        <is>
          <t>FR-NET-03، R3</t>
        </is>
      </c>
      <c r="E46" s="5" t="inlineStr">
        <is>
          <t>جديد</t>
        </is>
      </c>
      <c r="F46" s="5" t="inlineStr">
        <is>
          <t>BE</t>
        </is>
      </c>
      <c r="G46" s="6" t="n">
        <v>0.5</v>
      </c>
      <c r="H46" s="5" t="inlineStr">
        <is>
          <t>لا</t>
        </is>
      </c>
      <c r="I46" s="14" t="inlineStr">
        <is>
          <t>⬜ لم يبدأ</t>
        </is>
      </c>
      <c r="J46" s="14" t="inlineStr">
        <is>
          <t>feat/m3-data-engine</t>
        </is>
      </c>
      <c r="K46" s="14" t="inlineStr"/>
      <c r="L46" s="14" t="inlineStr"/>
    </row>
    <row r="47">
      <c r="A47" s="5" t="inlineStr">
        <is>
          <t>3.7</t>
        </is>
      </c>
      <c r="B47" s="5" t="inlineStr">
        <is>
          <t>M3</t>
        </is>
      </c>
      <c r="C47" s="5" t="inlineStr">
        <is>
          <t>درجات الولاء والقوة والشرائح (أبطال، منتظمون، معرّضون للتوقف، في طريقهم للانسحاب، جدد، خاملون) بأوزان قابلة للضبط</t>
        </is>
      </c>
      <c r="D47" s="5" t="inlineStr">
        <is>
          <t>FR-DSH-06، FR-MEM-08</t>
        </is>
      </c>
      <c r="E47" s="5" t="inlineStr">
        <is>
          <t>جديد</t>
        </is>
      </c>
      <c r="F47" s="5" t="inlineStr">
        <is>
          <t>BE</t>
        </is>
      </c>
      <c r="G47" s="6" t="n">
        <v>1</v>
      </c>
      <c r="H47" s="5" t="inlineStr">
        <is>
          <t>لا</t>
        </is>
      </c>
      <c r="I47" s="14" t="inlineStr">
        <is>
          <t>⬜ لم يبدأ</t>
        </is>
      </c>
      <c r="J47" s="14" t="inlineStr">
        <is>
          <t>feat/m3-data-engine</t>
        </is>
      </c>
      <c r="K47" s="14" t="inlineStr"/>
      <c r="L47" s="14" t="inlineStr"/>
    </row>
    <row r="48">
      <c r="A48" s="5" t="inlineStr">
        <is>
          <t>3.8</t>
        </is>
      </c>
      <c r="B48" s="5" t="inlineStr">
        <is>
          <t>M3</t>
        </is>
      </c>
      <c r="C48" s="5" t="inlineStr">
        <is>
          <t>محرك التنبيهات alert_rules/alerts: استهلاك مرتفع (10GB/7 أيام)، جهاز جديد، خطر التسرب، غير نشط، عقود تنتهي، عمل إضافي، زوار متكررون، امتلاء ≥90%، انخفاض ولاء؛ الخطورة، التهدئة، الساعات الهادئة، القنوات (لوحة/بريد/FCM)</t>
        </is>
      </c>
      <c r="D48" s="5" t="inlineStr">
        <is>
          <t>FR-ALR-01، FR-MEM-05</t>
        </is>
      </c>
      <c r="E48" s="5" t="inlineStr">
        <is>
          <t>توسعة: قنوات backend/app/Notifications/</t>
        </is>
      </c>
      <c r="F48" s="5" t="inlineStr">
        <is>
          <t>BE</t>
        </is>
      </c>
      <c r="G48" s="6" t="n">
        <v>1.5</v>
      </c>
      <c r="H48" s="5" t="inlineStr">
        <is>
          <t>لا</t>
        </is>
      </c>
      <c r="I48" s="14" t="inlineStr">
        <is>
          <t>⬜ لم يبدأ</t>
        </is>
      </c>
      <c r="J48" s="14" t="inlineStr">
        <is>
          <t>feat/m3-data-engine</t>
        </is>
      </c>
      <c r="K48" s="14" t="inlineStr"/>
      <c r="L48" s="14" t="inlineStr"/>
    </row>
    <row r="49">
      <c r="A49" s="5" t="inlineStr">
        <is>
          <t>3.9</t>
        </is>
      </c>
      <c r="B49" s="5" t="inlineStr">
        <is>
          <t>M3</t>
        </is>
      </c>
      <c r="C49" s="5" t="inlineStr">
        <is>
          <t>أدوات سلامة البيانات: تقسيم اسم مستخدم مشترك حسب MAC، دمج الحسابات، حظر جهاز على الراوتر — بسبب إلزامي</t>
        </is>
      </c>
      <c r="D49" s="5" t="inlineStr">
        <is>
          <t>FL-TP-TOOLS</t>
        </is>
      </c>
      <c r="E49" s="5" t="inlineStr">
        <is>
          <t>جديد</t>
        </is>
      </c>
      <c r="F49" s="5" t="inlineStr">
        <is>
          <t>BE+FE</t>
        </is>
      </c>
      <c r="G49" s="6" t="n">
        <v>0.75</v>
      </c>
      <c r="H49" s="5" t="inlineStr">
        <is>
          <t>لا</t>
        </is>
      </c>
      <c r="I49" s="14" t="inlineStr">
        <is>
          <t>⬜ لم يبدأ</t>
        </is>
      </c>
      <c r="J49" s="14" t="inlineStr">
        <is>
          <t>feat/m3-data-engine</t>
        </is>
      </c>
      <c r="K49" s="14" t="inlineStr"/>
      <c r="L49" s="14" t="inlineStr"/>
    </row>
    <row r="50">
      <c r="A50" s="5" t="inlineStr">
        <is>
          <t>3.10</t>
        </is>
      </c>
      <c r="B50" s="5" t="inlineStr">
        <is>
          <t>M3</t>
        </is>
      </c>
      <c r="C50" s="5" t="inlineStr">
        <is>
          <t>سياسة الاحتفاظ والتنظيف المجدول (الخام 90 يومًا بعد الإقفال، الأجزاء 7 أيام، السجلات 14 يومًا)</t>
        </is>
      </c>
      <c r="D50" s="5" t="inlineStr">
        <is>
          <t>NFR-PERF</t>
        </is>
      </c>
      <c r="E50" s="5" t="inlineStr">
        <is>
          <t>جديد</t>
        </is>
      </c>
      <c r="F50" s="5" t="inlineStr">
        <is>
          <t>BE</t>
        </is>
      </c>
      <c r="G50" s="6" t="n">
        <v>0.25</v>
      </c>
      <c r="H50" s="5" t="inlineStr">
        <is>
          <t>لا</t>
        </is>
      </c>
      <c r="I50" s="14" t="inlineStr">
        <is>
          <t>⬜ لم يبدأ</t>
        </is>
      </c>
      <c r="J50" s="14" t="inlineStr">
        <is>
          <t>feat/m3-data-engine</t>
        </is>
      </c>
      <c r="K50" s="14" t="inlineStr"/>
      <c r="L50" s="14" t="inlineStr"/>
    </row>
    <row r="51">
      <c r="A51" s="5" t="inlineStr">
        <is>
          <t>3.11</t>
        </is>
      </c>
      <c r="B51" s="5" t="inlineStr">
        <is>
          <t>M3</t>
        </is>
      </c>
      <c r="C51" s="5" t="inlineStr">
        <is>
          <t>اختبارات الدقة على بيانات التشغيل المتوازي: فرق الساعات ≤ 5% مقابل CoWorkSpaces</t>
        </is>
      </c>
      <c r="D51" s="5" t="inlineStr">
        <is>
          <t>—</t>
        </is>
      </c>
      <c r="E51" s="5" t="inlineStr">
        <is>
          <t>جديد</t>
        </is>
      </c>
      <c r="F51" s="5" t="inlineStr">
        <is>
          <t>QA</t>
        </is>
      </c>
      <c r="G51" s="6" t="n">
        <v>1.25</v>
      </c>
      <c r="H51" s="5" t="inlineStr">
        <is>
          <t>لا</t>
        </is>
      </c>
      <c r="I51" s="14" t="inlineStr">
        <is>
          <t>⬜ لم يبدأ</t>
        </is>
      </c>
      <c r="J51" s="14" t="inlineStr">
        <is>
          <t>feat/m3-data-engine</t>
        </is>
      </c>
      <c r="K51" s="14" t="inlineStr"/>
      <c r="L51" s="14" t="inlineStr"/>
    </row>
    <row r="52">
      <c r="A52" s="5" t="inlineStr">
        <is>
          <t>3.12</t>
        </is>
      </c>
      <c r="B52" s="5" t="inlineStr">
        <is>
          <t>M3</t>
        </is>
      </c>
      <c r="C52" s="5" t="inlineStr">
        <is>
          <t>تقرير مقارنة شهري مع CoWorkSpaces (الساعات لكل مشترك وUR) يُشغَّل كل شهر حتى القطع</t>
        </is>
      </c>
      <c r="D52" s="5" t="inlineStr">
        <is>
          <t>§7.3</t>
        </is>
      </c>
      <c r="E52" s="5" t="inlineStr">
        <is>
          <t>جديد</t>
        </is>
      </c>
      <c r="F52" s="5" t="inlineStr">
        <is>
          <t>BE</t>
        </is>
      </c>
      <c r="G52" s="6" t="n">
        <v>0.5</v>
      </c>
      <c r="H52" s="5" t="inlineStr">
        <is>
          <t>لا</t>
        </is>
      </c>
      <c r="I52" s="14" t="inlineStr">
        <is>
          <t>⬜ لم يبدأ</t>
        </is>
      </c>
      <c r="J52" s="14" t="inlineStr">
        <is>
          <t>feat/m3-data-engine</t>
        </is>
      </c>
      <c r="K52" s="14" t="inlineStr"/>
      <c r="L52" s="14" t="inlineStr"/>
    </row>
    <row r="53">
      <c r="A53" s="5" t="inlineStr">
        <is>
          <t>4.1</t>
        </is>
      </c>
      <c r="B53" s="5" t="inlineStr">
        <is>
          <t>M4</t>
        </is>
      </c>
      <c r="C53" s="5" t="inlineStr">
        <is>
          <t>لوحة الأداء التنفيذية: صحة المساحة (4 مكونات + توصيات)، بطاقات KPI، الرسوم الخمسة، النمو والتفاعل، الإيراد المتوقع وARPU والإشغال، الشرائح، «يحتاجون متابعة» وأعلى ولاء، آخر مزامنة وزر تحديث</t>
        </is>
      </c>
      <c r="D53" s="5" t="inlineStr">
        <is>
          <t>FR-DSH-01..06، FR-DSH-08..09</t>
        </is>
      </c>
      <c r="E53" s="5" t="inlineStr">
        <is>
          <t>توسعة: backend/app/Services/OwnerDashboardService.php</t>
        </is>
      </c>
      <c r="F53" s="5" t="inlineStr">
        <is>
          <t>BE+FE</t>
        </is>
      </c>
      <c r="G53" s="6" t="n">
        <v>1.75</v>
      </c>
      <c r="H53" s="5" t="inlineStr">
        <is>
          <t>لا</t>
        </is>
      </c>
      <c r="I53" s="14" t="inlineStr">
        <is>
          <t>⬜ لم يبدأ</t>
        </is>
      </c>
      <c r="J53" s="14" t="inlineStr">
        <is>
          <t>feat/m4-owner-ops</t>
        </is>
      </c>
      <c r="K53" s="14" t="inlineStr"/>
      <c r="L53" s="14" t="inlineStr"/>
    </row>
    <row r="54">
      <c r="A54" s="5" t="inlineStr">
        <is>
          <t>4.2</t>
        </is>
      </c>
      <c r="B54" s="5" t="inlineStr">
        <is>
          <t>M4</t>
        </is>
      </c>
      <c r="C54" s="5" t="inlineStr">
        <is>
          <t>توقع الشهر القادم بالانحدار الخطي OLS مع R² ودرجة الموثوقية</t>
        </is>
      </c>
      <c r="D54" s="5" t="inlineStr">
        <is>
          <t>FR-DSH-07</t>
        </is>
      </c>
      <c r="E54" s="5" t="inlineStr">
        <is>
          <t>جديد</t>
        </is>
      </c>
      <c r="F54" s="5" t="inlineStr">
        <is>
          <t>BE</t>
        </is>
      </c>
      <c r="G54" s="6" t="n">
        <v>0.5</v>
      </c>
      <c r="H54" s="5" t="inlineStr">
        <is>
          <t>نعم</t>
        </is>
      </c>
      <c r="I54" s="14" t="inlineStr">
        <is>
          <t>⬜ لم يبدأ</t>
        </is>
      </c>
      <c r="J54" s="14" t="inlineStr">
        <is>
          <t>feat/m4-owner-ops</t>
        </is>
      </c>
      <c r="K54" s="14" t="inlineStr"/>
      <c r="L54" s="14" t="inlineStr"/>
    </row>
    <row r="55">
      <c r="A55" s="5" t="inlineStr">
        <is>
          <t>4.3</t>
        </is>
      </c>
      <c r="B55" s="5" t="inlineStr">
        <is>
          <t>M4</t>
        </is>
      </c>
      <c r="C55" s="5" t="inlineStr">
        <is>
          <t>المراقب المباشر: متصلون الآن، الفجوات، الاستخدام، الاتجاهات؛ تحديث كل 30 ث</t>
        </is>
      </c>
      <c r="D55" s="5" t="inlineStr">
        <is>
          <t>FR-NET-01..03</t>
        </is>
      </c>
      <c r="E55" s="5" t="inlineStr">
        <is>
          <t>جديد</t>
        </is>
      </c>
      <c r="F55" s="5" t="inlineStr">
        <is>
          <t>BE+FE</t>
        </is>
      </c>
      <c r="G55" s="6" t="n">
        <v>1</v>
      </c>
      <c r="H55" s="5" t="inlineStr">
        <is>
          <t>لا</t>
        </is>
      </c>
      <c r="I55" s="14" t="inlineStr">
        <is>
          <t>⬜ لم يبدأ</t>
        </is>
      </c>
      <c r="J55" s="14" t="inlineStr">
        <is>
          <t>feat/m4-owner-ops</t>
        </is>
      </c>
      <c r="K55" s="14" t="inlineStr"/>
      <c r="L55" s="14" t="inlineStr"/>
    </row>
    <row r="56">
      <c r="A56" s="5" t="inlineStr">
        <is>
          <t>4.4</t>
        </is>
      </c>
      <c r="B56" s="5" t="inlineStr">
        <is>
          <t>M4</t>
        </is>
      </c>
      <c r="C56" s="5" t="inlineStr">
        <is>
          <t>مركز التنبيهات وإعداداته: عدادات، تصفية بالخطورة، ترقيم 30، تعليم كمقروء، ضبط القواعد</t>
        </is>
      </c>
      <c r="D56" s="5" t="inlineStr">
        <is>
          <t>FR-ALR-01..02</t>
        </is>
      </c>
      <c r="E56" s="5" t="inlineStr">
        <is>
          <t>توسعة: جرس الإشعارات فقط</t>
        </is>
      </c>
      <c r="F56" s="5" t="inlineStr">
        <is>
          <t>BE+FE</t>
        </is>
      </c>
      <c r="G56" s="6" t="n">
        <v>0.75</v>
      </c>
      <c r="H56" s="5" t="inlineStr">
        <is>
          <t>لا</t>
        </is>
      </c>
      <c r="I56" s="14" t="inlineStr">
        <is>
          <t>⬜ لم يبدأ</t>
        </is>
      </c>
      <c r="J56" s="14" t="inlineStr">
        <is>
          <t>feat/m4-owner-ops</t>
        </is>
      </c>
      <c r="K56" s="14" t="inlineStr"/>
      <c r="L56" s="14" t="inlineStr"/>
    </row>
    <row r="57">
      <c r="A57" s="5" t="inlineStr">
        <is>
          <t>4.5</t>
        </is>
      </c>
      <c r="B57" s="5" t="inlineStr">
        <is>
          <t>M4</t>
        </is>
      </c>
      <c r="C57" s="5" t="inlineStr">
        <is>
          <t>حقول المانح للمشترك: الجنس، المستوى التعليمي (10)، التخصص (35)، الحالة الوظيفية، اسم مستخدم MikroTik + معالج إكمال الملف</t>
        </is>
      </c>
      <c r="D57" s="5" t="inlineStr">
        <is>
          <t>FR-MEM-06، ENT-Subscriber</t>
        </is>
      </c>
      <c r="E57" s="5" t="inlineStr">
        <is>
          <t>توسعة: gender موجود فقط</t>
        </is>
      </c>
      <c r="F57" s="5" t="inlineStr">
        <is>
          <t>BE+FE</t>
        </is>
      </c>
      <c r="G57" s="6" t="n">
        <v>0.75</v>
      </c>
      <c r="H57" s="5" t="inlineStr">
        <is>
          <t>لا</t>
        </is>
      </c>
      <c r="I57" s="14" t="inlineStr">
        <is>
          <t>⬜ لم يبدأ</t>
        </is>
      </c>
      <c r="J57" s="14" t="inlineStr">
        <is>
          <t>feat/m4-owner-ops</t>
        </is>
      </c>
      <c r="K57" s="14" t="inlineStr"/>
      <c r="L57" s="14" t="inlineStr"/>
    </row>
    <row r="58">
      <c r="A58" s="5" t="inlineStr">
        <is>
          <t>4.6</t>
        </is>
      </c>
      <c r="B58" s="5" t="inlineStr">
        <is>
          <t>M4</t>
        </is>
      </c>
      <c r="C58" s="5" t="inlineStr">
        <is>
          <t>مركز المشتركين — اليوم/المشتركون/أسبوعيًا/هذا الشهر/التقويم: السعة اليومية، المتعاقد مقابل الفعلي، التحميل بالساعة بعتبات 70% و90%</t>
        </is>
      </c>
      <c r="D58" s="5" t="inlineStr">
        <is>
          <t>FR-MEM-01..02</t>
        </is>
      </c>
      <c r="E58" s="5" t="inlineStr">
        <is>
          <t>توسعة: frontend/src/components/features/owner/MembersTable.tsx</t>
        </is>
      </c>
      <c r="F58" s="5" t="inlineStr">
        <is>
          <t>BE+FE</t>
        </is>
      </c>
      <c r="G58" s="6" t="n">
        <v>1.25</v>
      </c>
      <c r="H58" s="5" t="inlineStr">
        <is>
          <t>لا</t>
        </is>
      </c>
      <c r="I58" s="14" t="inlineStr">
        <is>
          <t>⬜ لم يبدأ</t>
        </is>
      </c>
      <c r="J58" s="14" t="inlineStr">
        <is>
          <t>feat/m4-owner-ops</t>
        </is>
      </c>
      <c r="K58" s="14" t="inlineStr"/>
      <c r="L58" s="14" t="inlineStr"/>
    </row>
    <row r="59">
      <c r="A59" s="5" t="inlineStr">
        <is>
          <t>4.7</t>
        </is>
      </c>
      <c r="B59" s="5" t="inlineStr">
        <is>
          <t>M4</t>
        </is>
      </c>
      <c r="C59" s="5" t="inlineStr">
        <is>
          <t>العقود: ContractStateMachine (مسودة→نشط↔معلق→منتهٍ/ملغى)، أيام سماح، تجديد تلقائي، تمديد، تجديد جماعي للمؤهلين، تنبيه 14 يومًا (بدل 3)، سجل الحالات</t>
        </is>
      </c>
      <c r="D59" s="5" t="inlineStr">
        <is>
          <t>FR-MEM-03، FLOW-4</t>
        </is>
      </c>
      <c r="E59" s="5" t="inlineStr">
        <is>
          <t>توسعة: backend/app/Services/OwnerSubscriptionService.php</t>
        </is>
      </c>
      <c r="F59" s="5" t="inlineStr">
        <is>
          <t>BE+FE</t>
        </is>
      </c>
      <c r="G59" s="6" t="n">
        <v>1.5</v>
      </c>
      <c r="H59" s="5" t="inlineStr">
        <is>
          <t>لا</t>
        </is>
      </c>
      <c r="I59" s="14" t="inlineStr">
        <is>
          <t>⬜ لم يبدأ</t>
        </is>
      </c>
      <c r="J59" s="14" t="inlineStr">
        <is>
          <t>feat/m4-owner-ops</t>
        </is>
      </c>
      <c r="K59" s="14" t="inlineStr"/>
      <c r="L59" s="14" t="inlineStr"/>
    </row>
    <row r="60">
      <c r="A60" s="5" t="inlineStr">
        <is>
          <t>4.8</t>
        </is>
      </c>
      <c r="B60" s="5" t="inlineStr">
        <is>
          <t>M4</t>
        </is>
      </c>
      <c r="C60" s="5" t="inlineStr">
        <is>
          <t>أنواع الاشتراك الستة (شهري، أسبوعي، يومي، بالساعة، زائر، موظف) + ساعات متعاقد عليها</t>
        </is>
      </c>
      <c r="D60" s="5" t="inlineStr">
        <is>
          <t>§2.3، SUBTYPE</t>
        </is>
      </c>
      <c r="E60" s="5" t="inlineStr">
        <is>
          <t>توسعة: backend/app/Enums/PlanType.php (monthly/daily/custom)</t>
        </is>
      </c>
      <c r="F60" s="5" t="inlineStr">
        <is>
          <t>BE</t>
        </is>
      </c>
      <c r="G60" s="6" t="n">
        <v>0.5</v>
      </c>
      <c r="H60" s="5" t="inlineStr">
        <is>
          <t>لا</t>
        </is>
      </c>
      <c r="I60" s="14" t="inlineStr">
        <is>
          <t>⬜ لم يبدأ</t>
        </is>
      </c>
      <c r="J60" s="14" t="inlineStr">
        <is>
          <t>feat/m4-owner-ops</t>
        </is>
      </c>
      <c r="K60" s="14" t="inlineStr"/>
      <c r="L60" s="14" t="inlineStr"/>
    </row>
    <row r="61">
      <c r="A61" s="5" t="inlineStr">
        <is>
          <t>4.9</t>
        </is>
      </c>
      <c r="B61" s="5" t="inlineStr">
        <is>
          <t>M4</t>
        </is>
      </c>
      <c r="C61" s="5" t="inlineStr">
        <is>
          <t>الزوار المباشرون: أجهزة بلا اشتراك نشط، «فجوة الإيراد» بالساعات، نوع اشتراك مقترح (من أنواع 4.8)، زر «اشترك»</t>
        </is>
      </c>
      <c r="D61" s="5" t="inlineStr">
        <is>
          <t>FR-MEM-04، FLOW-2</t>
        </is>
      </c>
      <c r="E61" s="5" t="inlineStr">
        <is>
          <t>جديد</t>
        </is>
      </c>
      <c r="F61" s="5" t="inlineStr">
        <is>
          <t>BE+FE</t>
        </is>
      </c>
      <c r="G61" s="6" t="n">
        <v>0.75</v>
      </c>
      <c r="H61" s="5" t="inlineStr">
        <is>
          <t>لا</t>
        </is>
      </c>
      <c r="I61" s="14" t="inlineStr">
        <is>
          <t>⬜ لم يبدأ</t>
        </is>
      </c>
      <c r="J61" s="14" t="inlineStr">
        <is>
          <t>feat/m4-owner-ops</t>
        </is>
      </c>
      <c r="K61" s="14" t="inlineStr"/>
      <c r="L61" s="14" t="inlineStr"/>
    </row>
    <row r="62">
      <c r="A62" s="5" t="inlineStr">
        <is>
          <t>4.10</t>
        </is>
      </c>
      <c r="B62" s="5" t="inlineStr">
        <is>
          <t>M4</t>
        </is>
      </c>
      <c r="C62" s="5" t="inlineStr">
        <is>
          <t>الإدارة الجماعية + «الاكتشاف التلقائي الذكي» لنوع الاشتراك + تصدير CSV</t>
        </is>
      </c>
      <c r="D62" s="5" t="inlineStr">
        <is>
          <t>FR-MEM-07</t>
        </is>
      </c>
      <c r="E62" s="5" t="inlineStr">
        <is>
          <t>جديد</t>
        </is>
      </c>
      <c r="F62" s="5" t="inlineStr">
        <is>
          <t>BE+FE</t>
        </is>
      </c>
      <c r="G62" s="6" t="n">
        <v>0.75</v>
      </c>
      <c r="H62" s="5" t="inlineStr">
        <is>
          <t>لا</t>
        </is>
      </c>
      <c r="I62" s="14" t="inlineStr">
        <is>
          <t>⬜ لم يبدأ</t>
        </is>
      </c>
      <c r="J62" s="14" t="inlineStr">
        <is>
          <t>feat/m4-owner-ops</t>
        </is>
      </c>
      <c r="K62" s="14" t="inlineStr"/>
      <c r="L62" s="14" t="inlineStr"/>
    </row>
    <row r="63">
      <c r="A63" s="5" t="inlineStr">
        <is>
          <t>4.11</t>
        </is>
      </c>
      <c r="B63" s="5" t="inlineStr">
        <is>
          <t>M4</t>
        </is>
      </c>
      <c r="C63" s="5" t="inlineStr">
        <is>
          <t>ملف المشترك /subscribers/{id}: نظرة عامة، الاشتراك، الدرجات، النشاط، مقارنة الأقران، الولاء والقوة، تقويم النشاط، الأجهزة؛ تبويب «تحليل UTR» يُفعَّل في M6 والتبويب المالي في 5.23</t>
        </is>
      </c>
      <c r="D63" s="5" t="inlineStr">
        <is>
          <t>FR-MEM-08</t>
        </is>
      </c>
      <c r="E63" s="5" t="inlineStr">
        <is>
          <t>توسعة: frontend/src/components/features/owner/MemberDrawer.tsx</t>
        </is>
      </c>
      <c r="F63" s="5" t="inlineStr">
        <is>
          <t>BE+FE</t>
        </is>
      </c>
      <c r="G63" s="6" t="n">
        <v>1.25</v>
      </c>
      <c r="H63" s="5" t="inlineStr">
        <is>
          <t>لا</t>
        </is>
      </c>
      <c r="I63" s="14" t="inlineStr">
        <is>
          <t>⬜ لم يبدأ</t>
        </is>
      </c>
      <c r="J63" s="14" t="inlineStr">
        <is>
          <t>feat/m4-owner-ops</t>
        </is>
      </c>
      <c r="K63" s="14" t="inlineStr"/>
      <c r="L63" s="14" t="inlineStr"/>
    </row>
    <row r="64">
      <c r="A64" s="5" t="inlineStr">
        <is>
          <t>4.12</t>
        </is>
      </c>
      <c r="B64" s="5" t="inlineStr">
        <is>
          <t>M4</t>
        </is>
      </c>
      <c r="C64" s="5" t="inlineStr">
        <is>
          <t>المشتركون — الحسابات المالية الشهرية: الأيام، الحضور%، الساعات، GB، الخطة؛ بحث وترتيب بستة معايير؛ البطاقات — أعمدة «غير المفوتر» و«الرصيد» وبطاقة المحافظ تظهر مع finance_v2 (M5)</t>
        </is>
      </c>
      <c r="D64" s="5" t="inlineStr">
        <is>
          <t>FR-SUB-01..03</t>
        </is>
      </c>
      <c r="E64" s="5" t="inlineStr">
        <is>
          <t>جديد</t>
        </is>
      </c>
      <c r="F64" s="5" t="inlineStr">
        <is>
          <t>BE+FE</t>
        </is>
      </c>
      <c r="G64" s="6" t="n">
        <v>0.75</v>
      </c>
      <c r="H64" s="5" t="inlineStr">
        <is>
          <t>لا</t>
        </is>
      </c>
      <c r="I64" s="14" t="inlineStr">
        <is>
          <t>⬜ لم يبدأ</t>
        </is>
      </c>
      <c r="J64" s="14" t="inlineStr">
        <is>
          <t>feat/m4-owner-ops</t>
        </is>
      </c>
      <c r="K64" s="14" t="inlineStr"/>
      <c r="L64" s="14" t="inlineStr"/>
    </row>
    <row r="65">
      <c r="A65" s="5" t="inlineStr">
        <is>
          <t>4.13</t>
        </is>
      </c>
      <c r="B65" s="5" t="inlineStr">
        <is>
          <t>M4</t>
        </is>
      </c>
      <c r="C65" s="5" t="inlineStr">
        <is>
          <t>القائمة الشهرية Roster: تعبئة من المشتركين، نسخ الشهر الماضي، Gift Hours، الساعات المحجوزة من السعة</t>
        </is>
      </c>
      <c r="D65" s="5" t="inlineStr">
        <is>
          <t>FR-MEM-09، ENT-Roster</t>
        </is>
      </c>
      <c r="E65" s="5" t="inlineStr">
        <is>
          <t>جديد</t>
        </is>
      </c>
      <c r="F65" s="5" t="inlineStr">
        <is>
          <t>BE+FE</t>
        </is>
      </c>
      <c r="G65" s="6" t="n">
        <v>1</v>
      </c>
      <c r="H65" s="5" t="inlineStr">
        <is>
          <t>لا</t>
        </is>
      </c>
      <c r="I65" s="14" t="inlineStr">
        <is>
          <t>⬜ لم يبدأ</t>
        </is>
      </c>
      <c r="J65" s="14" t="inlineStr">
        <is>
          <t>feat/m4-owner-ops</t>
        </is>
      </c>
      <c r="K65" s="14" t="inlineStr"/>
      <c r="L65" s="14" t="inlineStr"/>
    </row>
    <row r="66">
      <c r="A66" s="5" t="inlineStr">
        <is>
          <t>4.14</t>
        </is>
      </c>
      <c r="B66" s="5" t="inlineStr">
        <is>
          <t>M4</t>
        </is>
      </c>
      <c r="C66" s="5" t="inlineStr">
        <is>
          <t>مركز الحجوزات: خط زمني/تقويم/عقود/حضور؛ حجز جديد (مشترك، نوع، مكتب، فترة، ساعات)؛ تأكيد الحضور يدويًا أو تلقائيًا عبر الشبكة مع تراجع؛ عقد جديد مع حجز الشهر؛ سبب إلزامي لتجاوز الساعات؛ ملخص شهري ومزامنة AUTO</t>
        </is>
      </c>
      <c r="D66" s="5" t="inlineStr">
        <is>
          <t>FR-BKG-01..06</t>
        </is>
      </c>
      <c r="E66" s="5" t="inlineStr">
        <is>
          <t>جديد</t>
        </is>
      </c>
      <c r="F66" s="5" t="inlineStr">
        <is>
          <t>BE+FE</t>
        </is>
      </c>
      <c r="G66" s="6" t="n">
        <v>1.5</v>
      </c>
      <c r="H66" s="5" t="inlineStr">
        <is>
          <t>لا</t>
        </is>
      </c>
      <c r="I66" s="14" t="inlineStr">
        <is>
          <t>⬜ لم يبدأ</t>
        </is>
      </c>
      <c r="J66" s="14" t="inlineStr">
        <is>
          <t>feat/m4-owner-ops</t>
        </is>
      </c>
      <c r="K66" s="14" t="inlineStr"/>
      <c r="L66" s="14" t="inlineStr"/>
    </row>
    <row r="67">
      <c r="A67" s="5" t="inlineStr">
        <is>
          <t>4.15</t>
        </is>
      </c>
      <c r="B67" s="5" t="inlineStr">
        <is>
          <t>M4</t>
        </is>
      </c>
      <c r="C67" s="5" t="inlineStr">
        <is>
          <t>المكاتب: توسيع Seat (النوع، المنطقة، السعة، الخصوصية، التبعية، الفرع)، إضافة مجمّعة (بدء/عدد/بادئة)، تبويبات المخزون/الآن/الشهر/الفروع</t>
        </is>
      </c>
      <c r="D67" s="5" t="inlineStr">
        <is>
          <t>FR-STN-01..02، ENT-Station</t>
        </is>
      </c>
      <c r="E67" s="5" t="inlineStr">
        <is>
          <t>توسعة: backend/app/Services/SeatService.php</t>
        </is>
      </c>
      <c r="F67" s="5" t="inlineStr">
        <is>
          <t>BE+FE</t>
        </is>
      </c>
      <c r="G67" s="6" t="n">
        <v>1</v>
      </c>
      <c r="H67" s="5" t="inlineStr">
        <is>
          <t>لا</t>
        </is>
      </c>
      <c r="I67" s="14" t="inlineStr">
        <is>
          <t>⬜ لم يبدأ</t>
        </is>
      </c>
      <c r="J67" s="14" t="inlineStr">
        <is>
          <t>feat/m4-owner-ops</t>
        </is>
      </c>
      <c r="K67" s="14" t="inlineStr"/>
      <c r="L67" s="14" t="inlineStr"/>
    </row>
    <row r="68">
      <c r="A68" s="5" t="inlineStr">
        <is>
          <t>4.16</t>
        </is>
      </c>
      <c r="B68" s="5" t="inlineStr">
        <is>
          <t>M4</t>
        </is>
      </c>
      <c r="C68" s="5" t="inlineStr">
        <is>
          <t>حجوزات غرف الاجتماعات: جعل الموارد من نوع meeting_room قابلة للحجز، الحالات (معلق/موافق/مرفوض/ملغى/قادم)، منع التعارض والتداخل، بحث وتصفية بالتاريخ</t>
        </is>
      </c>
      <c r="D68" s="5" t="inlineStr">
        <is>
          <t>FR-RMB-01..02</t>
        </is>
      </c>
      <c r="E68" s="5" t="inlineStr">
        <is>
          <t>توسعة: backend/app/Services/ResourceService.php</t>
        </is>
      </c>
      <c r="F68" s="5" t="inlineStr">
        <is>
          <t>BE+FE</t>
        </is>
      </c>
      <c r="G68" s="6" t="n">
        <v>0.75</v>
      </c>
      <c r="H68" s="5" t="inlineStr">
        <is>
          <t>لا</t>
        </is>
      </c>
      <c r="I68" s="14" t="inlineStr">
        <is>
          <t>⬜ لم يبدأ</t>
        </is>
      </c>
      <c r="J68" s="14" t="inlineStr">
        <is>
          <t>feat/m4-owner-ops</t>
        </is>
      </c>
      <c r="K68" s="14" t="inlineStr"/>
      <c r="L68" s="14" t="inlineStr"/>
    </row>
    <row r="69">
      <c r="A69" s="5" t="inlineStr">
        <is>
          <t>4.17</t>
        </is>
      </c>
      <c r="B69" s="5" t="inlineStr">
        <is>
          <t>M4</t>
        </is>
      </c>
      <c r="C69" s="5" t="inlineStr">
        <is>
          <t>طلبات الاشتراك: حالات (معلق، موافق، مرفوض، متوفر، ملغى) وتهيئة الخلفية لطلبات بلا حساب (النموذج العام في 10.3)</t>
        </is>
      </c>
      <c r="D69" s="5" t="inlineStr">
        <is>
          <t>FR-REQ-01، FLOW-1</t>
        </is>
      </c>
      <c r="E69" s="5" t="inlineStr">
        <is>
          <t>توسعة: backend/app/Services/BookingService.php</t>
        </is>
      </c>
      <c r="F69" s="5" t="inlineStr">
        <is>
          <t>BE+FE</t>
        </is>
      </c>
      <c r="G69" s="6" t="n">
        <v>0.5</v>
      </c>
      <c r="H69" s="5" t="inlineStr">
        <is>
          <t>لا</t>
        </is>
      </c>
      <c r="I69" s="14" t="inlineStr">
        <is>
          <t>⬜ لم يبدأ</t>
        </is>
      </c>
      <c r="J69" s="14" t="inlineStr">
        <is>
          <t>feat/m4-owner-ops</t>
        </is>
      </c>
      <c r="K69" s="14" t="inlineStr"/>
      <c r="L69" s="14" t="inlineStr"/>
    </row>
    <row r="70">
      <c r="A70" s="5" t="inlineStr">
        <is>
          <t>5.1</t>
        </is>
      </c>
      <c r="B70" s="5" t="inlineStr">
        <is>
          <t>M5</t>
        </is>
      </c>
      <c r="C70" s="5" t="inlineStr">
        <is>
          <t>الكتالوج: catalog_categories (مبيعات/مصروفات، رمز ثابت، ترتيب، أرشفة) وcatalog_items (رمز، اسم ع/إ، وحدة قطعة/ساعة/يوم/شهر/GB، سعر) + ربط pos_products</t>
        </is>
      </c>
      <c r="D70" s="5" t="inlineStr">
        <is>
          <t>FIN-ITM، FIN-CAT</t>
        </is>
      </c>
      <c r="E70" s="5" t="inlineStr">
        <is>
          <t>توسعة: منتجات POS في backend/app/Services/Pos/</t>
        </is>
      </c>
      <c r="F70" s="5" t="inlineStr">
        <is>
          <t>BE+FE</t>
        </is>
      </c>
      <c r="G70" s="6" t="n">
        <v>1</v>
      </c>
      <c r="H70" s="5" t="inlineStr">
        <is>
          <t>لا</t>
        </is>
      </c>
      <c r="I70" s="14" t="inlineStr">
        <is>
          <t>⬜ لم يبدأ</t>
        </is>
      </c>
      <c r="J70" s="14" t="inlineStr">
        <is>
          <t>feat/m5-finance-v2</t>
        </is>
      </c>
      <c r="K70" s="14" t="inlineStr"/>
      <c r="L70" s="14" t="inlineStr"/>
    </row>
    <row r="71">
      <c r="A71" s="5" t="inlineStr">
        <is>
          <t>5.2</t>
        </is>
      </c>
      <c r="B71" s="5" t="inlineStr">
        <is>
          <t>M5</t>
        </is>
      </c>
      <c r="C71" s="5" t="inlineStr">
        <is>
          <t>الخطط: 6 طرق تسعير (ثابت شهري/أسبوعي/يومي، بالساعات، بالـ GB، باقة بحد وصلاحية)، سعر الزيادة، مقعد مخصص، عرض خاص حتى تاريخ، أرشفة/حذف</t>
        </is>
      </c>
      <c r="D71" s="5" t="inlineStr">
        <is>
          <t>FIN-PLN، BR-FIN-04</t>
        </is>
      </c>
      <c r="E71" s="5" t="inlineStr">
        <is>
          <t>توسعة: backend/app/Services/SeatTypePricingService.php</t>
        </is>
      </c>
      <c r="F71" s="5" t="inlineStr">
        <is>
          <t>BE+FE</t>
        </is>
      </c>
      <c r="G71" s="6" t="n">
        <v>1</v>
      </c>
      <c r="H71" s="5" t="inlineStr">
        <is>
          <t>لا</t>
        </is>
      </c>
      <c r="I71" s="14" t="inlineStr">
        <is>
          <t>⬜ لم يبدأ</t>
        </is>
      </c>
      <c r="J71" s="14" t="inlineStr">
        <is>
          <t>feat/m5-finance-v2</t>
        </is>
      </c>
      <c r="K71" s="14" t="inlineStr"/>
      <c r="L71" s="14" t="inlineStr"/>
    </row>
    <row r="72">
      <c r="A72" s="5" t="inlineStr">
        <is>
          <t>5.3</t>
        </is>
      </c>
      <c r="B72" s="5" t="inlineStr">
        <is>
          <t>M5</t>
        </is>
      </c>
      <c r="C72" s="5" t="inlineStr">
        <is>
          <t>الاشتراك المالي للعقد: مسبق/آجل، سعر خاص، ساعات متعاقدة، مقعد</t>
        </is>
      </c>
      <c r="D72" s="5" t="inlineStr">
        <is>
          <t>§3.3، FR-FIN-01</t>
        </is>
      </c>
      <c r="E72" s="5" t="inlineStr">
        <is>
          <t>توسعة: backend/app/Models/Subscription.php</t>
        </is>
      </c>
      <c r="F72" s="5" t="inlineStr">
        <is>
          <t>BE</t>
        </is>
      </c>
      <c r="G72" s="6" t="n">
        <v>0.75</v>
      </c>
      <c r="H72" s="5" t="inlineStr">
        <is>
          <t>لا</t>
        </is>
      </c>
      <c r="I72" s="14" t="inlineStr">
        <is>
          <t>⬜ لم يبدأ</t>
        </is>
      </c>
      <c r="J72" s="14" t="inlineStr">
        <is>
          <t>feat/m5-finance-v2</t>
        </is>
      </c>
      <c r="K72" s="14" t="inlineStr"/>
      <c r="L72" s="14" t="inlineStr"/>
    </row>
    <row r="73">
      <c r="A73" s="5" t="inlineStr">
        <is>
          <t>5.4</t>
        </is>
      </c>
      <c r="B73" s="5" t="inlineStr">
        <is>
          <t>M5</t>
        </is>
      </c>
      <c r="C73" s="5" t="inlineStr">
        <is>
          <t>الحركات غير المفوترة unbilled_charges (POS «إضافة إلى الحساب»، استيراد، ساعات إضافية، تجاوز)</t>
        </is>
      </c>
      <c r="D73" s="5" t="inlineStr">
        <is>
          <t>FLOW-3</t>
        </is>
      </c>
      <c r="E73" s="5" t="inlineStr">
        <is>
          <t>جديد</t>
        </is>
      </c>
      <c r="F73" s="5" t="inlineStr">
        <is>
          <t>BE</t>
        </is>
      </c>
      <c r="G73" s="6" t="n">
        <v>0.5</v>
      </c>
      <c r="H73" s="5" t="inlineStr">
        <is>
          <t>لا</t>
        </is>
      </c>
      <c r="I73" s="14" t="inlineStr">
        <is>
          <t>⬜ لم يبدأ</t>
        </is>
      </c>
      <c r="J73" s="14" t="inlineStr">
        <is>
          <t>feat/m5-finance-v2</t>
        </is>
      </c>
      <c r="K73" s="14" t="inlineStr"/>
      <c r="L73" s="14" t="inlineStr"/>
    </row>
    <row r="74">
      <c r="A74" s="5" t="inlineStr">
        <is>
          <t>5.5</t>
        </is>
      </c>
      <c r="B74" s="5" t="inlineStr">
        <is>
          <t>M5</t>
        </is>
      </c>
      <c r="C74" s="5" t="inlineStr">
        <is>
          <t>الفواتير v2: بنود invoice_lines، مسودة←صادرة←ملغاة، payment_status، ترقيم document_sequences، منع التعديل والحذف بعد الإصدار (يُستبدل الحذف الفعلي بالإلغاء)، step-up 2FA، مزامنة الحالة القديمة + ترحيل الفواتير الحالية</t>
        </is>
      </c>
      <c r="D74" s="5" t="inlineStr">
        <is>
          <t>FIN-INV، BR-FIN-01</t>
        </is>
      </c>
      <c r="E74" s="5" t="inlineStr">
        <is>
          <t>توسعة: backend/app/Services/InvoiceService.php</t>
        </is>
      </c>
      <c r="F74" s="5" t="inlineStr">
        <is>
          <t>BE</t>
        </is>
      </c>
      <c r="G74" s="6" t="n">
        <v>1.75</v>
      </c>
      <c r="H74" s="5" t="inlineStr">
        <is>
          <t>لا</t>
        </is>
      </c>
      <c r="I74" s="14" t="inlineStr">
        <is>
          <t>⬜ لم يبدأ</t>
        </is>
      </c>
      <c r="J74" s="14" t="inlineStr">
        <is>
          <t>feat/m5-finance-v2</t>
        </is>
      </c>
      <c r="K74" s="14" t="inlineStr"/>
      <c r="L74" s="14" t="inlineStr"/>
    </row>
    <row r="75">
      <c r="A75" s="5" t="inlineStr">
        <is>
          <t>5.6</t>
        </is>
      </c>
      <c r="B75" s="5" t="inlineStr">
        <is>
          <t>M5</t>
        </is>
      </c>
      <c r="C75" s="5" t="inlineStr">
        <is>
          <t>التجهيز الجماعي الشهري invoice_runs (معاينة → مسودات → إصدار) بديلًا لـ invoices:generate-monthly + فاتورة يدوية + فلتر المتأخر + واجهة الفواتير</t>
        </is>
      </c>
      <c r="D75" s="5" t="inlineStr">
        <is>
          <t>FIN-INV</t>
        </is>
      </c>
      <c r="E75" s="5" t="inlineStr">
        <is>
          <t>توسعة: backend/app/Console/Commands/GenerateMonthlyInvoices.php</t>
        </is>
      </c>
      <c r="F75" s="5" t="inlineStr">
        <is>
          <t>BE+FE</t>
        </is>
      </c>
      <c r="G75" s="6" t="n">
        <v>1.25</v>
      </c>
      <c r="H75" s="5" t="inlineStr">
        <is>
          <t>لا</t>
        </is>
      </c>
      <c r="I75" s="14" t="inlineStr">
        <is>
          <t>⬜ لم يبدأ</t>
        </is>
      </c>
      <c r="J75" s="14" t="inlineStr">
        <is>
          <t>feat/m5-finance-v2</t>
        </is>
      </c>
      <c r="K75" s="14" t="inlineStr"/>
      <c r="L75" s="14" t="inlineStr"/>
    </row>
    <row r="76">
      <c r="A76" s="5" t="inlineStr">
        <is>
          <t>5.7</t>
        </is>
      </c>
      <c r="B76" s="5" t="inlineStr">
        <is>
          <t>M5</t>
        </is>
      </c>
      <c r="C76" s="5" t="inlineStr">
        <is>
          <t>سندات القبض receipts + receipt_allocations (توزيع على فواتير)، الوسائل نقدي/بطاقة/تحويل/شيك، دورة الشيك، الفرز بتاريخ التحصيل/الاستلام + ترحيل invoice_payments</t>
        </is>
      </c>
      <c r="D76" s="5" t="inlineStr">
        <is>
          <t>FIN-RCP</t>
        </is>
      </c>
      <c r="E76" s="5" t="inlineStr">
        <is>
          <t>توسعة: الدفعات الجزئية ومراجعة الإيصالات الحالية</t>
        </is>
      </c>
      <c r="F76" s="5" t="inlineStr">
        <is>
          <t>BE+FE</t>
        </is>
      </c>
      <c r="G76" s="6" t="n">
        <v>1.5</v>
      </c>
      <c r="H76" s="5" t="inlineStr">
        <is>
          <t>لا</t>
        </is>
      </c>
      <c r="I76" s="14" t="inlineStr">
        <is>
          <t>⬜ لم يبدأ</t>
        </is>
      </c>
      <c r="J76" s="14" t="inlineStr">
        <is>
          <t>feat/m5-finance-v2</t>
        </is>
      </c>
      <c r="K76" s="14" t="inlineStr"/>
      <c r="L76" s="14" t="inlineStr"/>
    </row>
    <row r="77">
      <c r="A77" s="5" t="inlineStr">
        <is>
          <t>5.8</t>
        </is>
      </c>
      <c r="B77" s="5" t="inlineStr">
        <is>
          <t>M5</t>
        </is>
      </c>
      <c r="C77" s="5" t="inlineStr">
        <is>
          <t>الإشعارات الدائنة (مرتبطة بالفاتورة + سبب)</t>
        </is>
      </c>
      <c r="D77" s="5" t="inlineStr">
        <is>
          <t>FIN-CN، BR-FIN-01</t>
        </is>
      </c>
      <c r="E77" s="5" t="inlineStr">
        <is>
          <t>جديد</t>
        </is>
      </c>
      <c r="F77" s="5" t="inlineStr">
        <is>
          <t>BE+FE</t>
        </is>
      </c>
      <c r="G77" s="6" t="n">
        <v>0.5</v>
      </c>
      <c r="H77" s="5" t="inlineStr">
        <is>
          <t>لا</t>
        </is>
      </c>
      <c r="I77" s="14" t="inlineStr">
        <is>
          <t>⬜ لم يبدأ</t>
        </is>
      </c>
      <c r="J77" s="14" t="inlineStr">
        <is>
          <t>feat/m5-finance-v2</t>
        </is>
      </c>
      <c r="K77" s="14" t="inlineStr"/>
      <c r="L77" s="14" t="inlineStr"/>
    </row>
    <row r="78">
      <c r="A78" s="5" t="inlineStr">
        <is>
          <t>5.9</t>
        </is>
      </c>
      <c r="B78" s="5" t="inlineStr">
        <is>
          <t>M5</t>
        </is>
      </c>
      <c r="C78" s="5" t="inlineStr">
        <is>
          <t>المحفظة والتأمين wallet_entries (استلام، إعادة، تسوية، مصادرة) + سندات الصرف payment_vouchers</t>
        </is>
      </c>
      <c r="D78" s="5" t="inlineStr">
        <is>
          <t>FIN-PV</t>
        </is>
      </c>
      <c r="E78" s="5" t="inlineStr">
        <is>
          <t>جديد</t>
        </is>
      </c>
      <c r="F78" s="5" t="inlineStr">
        <is>
          <t>BE+FE</t>
        </is>
      </c>
      <c r="G78" s="6" t="n">
        <v>1</v>
      </c>
      <c r="H78" s="5" t="inlineStr">
        <is>
          <t>لا</t>
        </is>
      </c>
      <c r="I78" s="14" t="inlineStr">
        <is>
          <t>⬜ لم يبدأ</t>
        </is>
      </c>
      <c r="J78" s="14" t="inlineStr">
        <is>
          <t>feat/m5-finance-v2</t>
        </is>
      </c>
      <c r="K78" s="14" t="inlineStr"/>
      <c r="L78" s="14" t="inlineStr"/>
    </row>
    <row r="79">
      <c r="A79" s="5" t="inlineStr">
        <is>
          <t>5.10</t>
        </is>
      </c>
      <c r="B79" s="5" t="inlineStr">
        <is>
          <t>M5</t>
        </is>
      </c>
      <c r="C79" s="5" t="inlineStr">
        <is>
          <t>نقطة البيع v2: اختيار مشترك (F2)، بنود من الكتالوج أو يدوية بخصم وسببه، «إضافة إلى الحساب» أو «تحصيل» بالوسائل الأربع، لوحة أرقام، استخدام المقاعد</t>
        </is>
      </c>
      <c r="D79" s="5" t="inlineStr">
        <is>
          <t>FIN-POS</t>
        </is>
      </c>
      <c r="E79" s="5" t="inlineStr">
        <is>
          <t>توسعة: backend/app/Services/Pos/PosOrderService.php</t>
        </is>
      </c>
      <c r="F79" s="5" t="inlineStr">
        <is>
          <t>BE+FE</t>
        </is>
      </c>
      <c r="G79" s="6" t="n">
        <v>1</v>
      </c>
      <c r="H79" s="5" t="inlineStr">
        <is>
          <t>لا</t>
        </is>
      </c>
      <c r="I79" s="14" t="inlineStr">
        <is>
          <t>⬜ لم يبدأ</t>
        </is>
      </c>
      <c r="J79" s="14" t="inlineStr">
        <is>
          <t>feat/m5-finance-v2</t>
        </is>
      </c>
      <c r="K79" s="14" t="inlineStr"/>
      <c r="L79" s="14" t="inlineStr"/>
    </row>
    <row r="80">
      <c r="A80" s="5" t="inlineStr">
        <is>
          <t>5.11</t>
        </is>
      </c>
      <c r="B80" s="5" t="inlineStr">
        <is>
          <t>M5</t>
        </is>
      </c>
      <c r="C80" s="5" t="inlineStr">
        <is>
          <t>التحصيل: أعمار الديون (0–90+)، متابعات بملاحظة، فلتر «لا أستطيع التواصل معهم»، تذكيرات</t>
        </is>
      </c>
      <c r="D80" s="5" t="inlineStr">
        <is>
          <t>FIN-COL</t>
        </is>
      </c>
      <c r="E80" s="5" t="inlineStr">
        <is>
          <t>توسعة: backend/app/Services/OwnerReportsService.php</t>
        </is>
      </c>
      <c r="F80" s="5" t="inlineStr">
        <is>
          <t>BE+FE</t>
        </is>
      </c>
      <c r="G80" s="6" t="n">
        <v>0.75</v>
      </c>
      <c r="H80" s="5" t="inlineStr">
        <is>
          <t>لا</t>
        </is>
      </c>
      <c r="I80" s="14" t="inlineStr">
        <is>
          <t>⬜ لم يبدأ</t>
        </is>
      </c>
      <c r="J80" s="14" t="inlineStr">
        <is>
          <t>feat/m5-finance-v2</t>
        </is>
      </c>
      <c r="K80" s="14" t="inlineStr"/>
      <c r="L80" s="14" t="inlineStr"/>
    </row>
    <row r="81">
      <c r="A81" s="5" t="inlineStr">
        <is>
          <t>5.12</t>
        </is>
      </c>
      <c r="B81" s="5" t="inlineStr">
        <is>
          <t>M5</t>
        </is>
      </c>
      <c r="C81" s="5" t="inlineStr">
        <is>
          <t>المصروفات v2: تصنيف من الكتالوج، وسيلة الدفع، مرجع، إلغاء</t>
        </is>
      </c>
      <c r="D81" s="5" t="inlineStr">
        <is>
          <t>FIN-EXP</t>
        </is>
      </c>
      <c r="E81" s="5" t="inlineStr">
        <is>
          <t>توسعة: backend/app/Services/ExpenseService.php</t>
        </is>
      </c>
      <c r="F81" s="5" t="inlineStr">
        <is>
          <t>BE+FE</t>
        </is>
      </c>
      <c r="G81" s="6" t="n">
        <v>0.25</v>
      </c>
      <c r="H81" s="5" t="inlineStr">
        <is>
          <t>لا</t>
        </is>
      </c>
      <c r="I81" s="14" t="inlineStr">
        <is>
          <t>⬜ لم يبدأ</t>
        </is>
      </c>
      <c r="J81" s="14" t="inlineStr">
        <is>
          <t>feat/m5-finance-v2</t>
        </is>
      </c>
      <c r="K81" s="14" t="inlineStr"/>
      <c r="L81" s="14" t="inlineStr"/>
    </row>
    <row r="82">
      <c r="A82" s="5" t="inlineStr">
        <is>
          <t>5.13</t>
        </is>
      </c>
      <c r="B82" s="5" t="inlineStr">
        <is>
          <t>M5</t>
        </is>
      </c>
      <c r="C82" s="5" t="inlineStr">
        <is>
          <t>مطابقة الصندوق: حركة اليوم حسب الوسيلة (داخل/خارج/صافي) + حاسبة عدّ النقد (لا تحفظ)</t>
        </is>
      </c>
      <c r="D82" s="5" t="inlineStr">
        <is>
          <t>FIN-CASH، BR-FIN-02</t>
        </is>
      </c>
      <c r="E82" s="5" t="inlineStr">
        <is>
          <t>جديد</t>
        </is>
      </c>
      <c r="F82" s="5" t="inlineStr">
        <is>
          <t>BE+FE</t>
        </is>
      </c>
      <c r="G82" s="6" t="n">
        <v>0.5</v>
      </c>
      <c r="H82" s="5" t="inlineStr">
        <is>
          <t>لا</t>
        </is>
      </c>
      <c r="I82" s="14" t="inlineStr">
        <is>
          <t>⬜ لم يبدأ</t>
        </is>
      </c>
      <c r="J82" s="14" t="inlineStr">
        <is>
          <t>feat/m5-finance-v2</t>
        </is>
      </c>
      <c r="K82" s="14" t="inlineStr"/>
      <c r="L82" s="14" t="inlineStr"/>
    </row>
    <row r="83">
      <c r="A83" s="5" t="inlineStr">
        <is>
          <t>5.14</t>
        </is>
      </c>
      <c r="B83" s="5" t="inlineStr">
        <is>
          <t>M5</t>
        </is>
      </c>
      <c r="C83" s="5" t="inlineStr">
        <is>
          <t>ضريبة القيمة المضافة: معدل في الإعدادات، مجمّد عند الإصدار، تقرير فترة على أساس الاستحقاق، استبعاد الملغاة، تنزيل التفاصيل</t>
        </is>
      </c>
      <c r="D83" s="5" t="inlineStr">
        <is>
          <t>FIN-VAT، BR-FIN-03</t>
        </is>
      </c>
      <c r="E83" s="5" t="inlineStr">
        <is>
          <t>جديد</t>
        </is>
      </c>
      <c r="F83" s="5" t="inlineStr">
        <is>
          <t>BE+FE</t>
        </is>
      </c>
      <c r="G83" s="6" t="n">
        <v>0.75</v>
      </c>
      <c r="H83" s="5" t="inlineStr">
        <is>
          <t>لا</t>
        </is>
      </c>
      <c r="I83" s="14" t="inlineStr">
        <is>
          <t>⬜ لم يبدأ</t>
        </is>
      </c>
      <c r="J83" s="14" t="inlineStr">
        <is>
          <t>feat/m5-finance-v2</t>
        </is>
      </c>
      <c r="K83" s="14" t="inlineStr"/>
      <c r="L83" s="14" t="inlineStr"/>
    </row>
    <row r="84">
      <c r="A84" s="5" t="inlineStr">
        <is>
          <t>5.15</t>
        </is>
      </c>
      <c r="B84" s="5" t="inlineStr">
        <is>
          <t>M5</t>
        </is>
      </c>
      <c r="C84" s="5" t="inlineStr">
        <is>
          <t>الاستيراد الذري XLSX (ورقة واحدة، ≤ 2,000 صف، ≤ 5MB، بلا معادلات) للكتالوج والمسحوبات: معاينة ثم اعتماد كل-أو-لا-شيء بلا تكرار (import_batches)</t>
        </is>
      </c>
      <c r="D84" s="5" t="inlineStr">
        <is>
          <t>FIN-IMP</t>
        </is>
      </c>
      <c r="E84" s="5" t="inlineStr">
        <is>
          <t>جديد</t>
        </is>
      </c>
      <c r="F84" s="5" t="inlineStr">
        <is>
          <t>BE+FE</t>
        </is>
      </c>
      <c r="G84" s="6" t="n">
        <v>1</v>
      </c>
      <c r="H84" s="5" t="inlineStr">
        <is>
          <t>لا</t>
        </is>
      </c>
      <c r="I84" s="14" t="inlineStr">
        <is>
          <t>⬜ لم يبدأ</t>
        </is>
      </c>
      <c r="J84" s="14" t="inlineStr">
        <is>
          <t>feat/m5-finance-v2</t>
        </is>
      </c>
      <c r="K84" s="14" t="inlineStr"/>
      <c r="L84" s="14" t="inlineStr"/>
    </row>
    <row r="85">
      <c r="A85" s="5" t="inlineStr">
        <is>
          <t>5.16</t>
        </is>
      </c>
      <c r="B85" s="5" t="inlineStr">
        <is>
          <t>M5</t>
        </is>
      </c>
      <c r="C85" s="5" t="inlineStr">
        <is>
          <t>المؤسسات: شركة تدفع عن أفرادها، شروط تغطية، فاتورة شهرية موحدة، رقم ضريبي</t>
        </is>
      </c>
      <c r="D85" s="5" t="inlineStr">
        <is>
          <t>FIN-ORG، ENT-Organization</t>
        </is>
      </c>
      <c r="E85" s="5" t="inlineStr">
        <is>
          <t>جديد</t>
        </is>
      </c>
      <c r="F85" s="5" t="inlineStr">
        <is>
          <t>BE+FE</t>
        </is>
      </c>
      <c r="G85" s="6" t="n">
        <v>0.75</v>
      </c>
      <c r="H85" s="5" t="inlineStr">
        <is>
          <t>نعم</t>
        </is>
      </c>
      <c r="I85" s="14" t="inlineStr">
        <is>
          <t>⬜ لم يبدأ</t>
        </is>
      </c>
      <c r="J85" s="14" t="inlineStr">
        <is>
          <t>feat/m5-finance-v2</t>
        </is>
      </c>
      <c r="K85" s="14" t="inlineStr"/>
      <c r="L85" s="14" t="inlineStr"/>
    </row>
    <row r="86">
      <c r="A86" s="5" t="inlineStr">
        <is>
          <t>5.17</t>
        </is>
      </c>
      <c r="B86" s="5" t="inlineStr">
        <is>
          <t>M5</t>
        </is>
      </c>
      <c r="C86" s="5" t="inlineStr">
        <is>
          <t>المقاعد المالية: إشغال اليوم، إيراد المقاعد المخصصة، الحالات (متاح/مخصص/محجوز لاحقًا/خارج الخدمة)، تحرير المنتهية، فرض BR-FIN-04</t>
        </is>
      </c>
      <c r="D86" s="5" t="inlineStr">
        <is>
          <t>FIN-SEAT، BR-FIN-04</t>
        </is>
      </c>
      <c r="E86" s="5" t="inlineStr">
        <is>
          <t>توسعة: backend/app/Services/SeatService.php</t>
        </is>
      </c>
      <c r="F86" s="5" t="inlineStr">
        <is>
          <t>BE+FE</t>
        </is>
      </c>
      <c r="G86" s="6" t="n">
        <v>0.5</v>
      </c>
      <c r="H86" s="5" t="inlineStr">
        <is>
          <t>لا</t>
        </is>
      </c>
      <c r="I86" s="14" t="inlineStr">
        <is>
          <t>⬜ لم يبدأ</t>
        </is>
      </c>
      <c r="J86" s="14" t="inlineStr">
        <is>
          <t>feat/m5-finance-v2</t>
        </is>
      </c>
      <c r="K86" s="14" t="inlineStr"/>
      <c r="L86" s="14" t="inlineStr"/>
    </row>
    <row r="87">
      <c r="A87" s="5" t="inlineStr">
        <is>
          <t>5.18</t>
        </is>
      </c>
      <c r="B87" s="5" t="inlineStr">
        <is>
          <t>M5</t>
        </is>
      </c>
      <c r="C87" s="5" t="inlineStr">
        <is>
          <t>الساعات الإضافية: قواعد احتساب ما بعد الدوام، معاينة شهر قبل التفعيل، توليد حركات غير مفوترة، مستقلة عن UR</t>
        </is>
      </c>
      <c r="D87" s="5" t="inlineStr">
        <is>
          <t>FIN-AH</t>
        </is>
      </c>
      <c r="E87" s="5" t="inlineStr">
        <is>
          <t>جديد</t>
        </is>
      </c>
      <c r="F87" s="5" t="inlineStr">
        <is>
          <t>BE+FE</t>
        </is>
      </c>
      <c r="G87" s="6" t="n">
        <v>0.75</v>
      </c>
      <c r="H87" s="5" t="inlineStr">
        <is>
          <t>نعم</t>
        </is>
      </c>
      <c r="I87" s="14" t="inlineStr">
        <is>
          <t>⬜ لم يبدأ</t>
        </is>
      </c>
      <c r="J87" s="14" t="inlineStr">
        <is>
          <t>feat/m5-finance-v2</t>
        </is>
      </c>
      <c r="K87" s="14" t="inlineStr"/>
      <c r="L87" s="14" t="inlineStr"/>
    </row>
    <row r="88">
      <c r="A88" s="5" t="inlineStr">
        <is>
          <t>5.19</t>
        </is>
      </c>
      <c r="B88" s="5" t="inlineStr">
        <is>
          <t>M5</t>
        </is>
      </c>
      <c r="C88" s="5" t="inlineStr">
        <is>
          <t>لوحة المالية: «ما يحتاج انتباهك»، المقبوض/المصروف/النتيجة النقدية/المفوتر غير المدفوع (كل بطاقة تفتح سجلاتها)، أعمار الذمم، تفاصيل الضريبة</t>
        </is>
      </c>
      <c r="D88" s="5" t="inlineStr">
        <is>
          <t>FR-FIN-01..03</t>
        </is>
      </c>
      <c r="E88" s="5" t="inlineStr">
        <is>
          <t>توسعة: P&amp;L في backend/app/Services/OwnerReportsService.php</t>
        </is>
      </c>
      <c r="F88" s="5" t="inlineStr">
        <is>
          <t>BE+FE</t>
        </is>
      </c>
      <c r="G88" s="6" t="n">
        <v>0.75</v>
      </c>
      <c r="H88" s="5" t="inlineStr">
        <is>
          <t>لا</t>
        </is>
      </c>
      <c r="I88" s="14" t="inlineStr">
        <is>
          <t>⬜ لم يبدأ</t>
        </is>
      </c>
      <c r="J88" s="14" t="inlineStr">
        <is>
          <t>feat/m5-finance-v2</t>
        </is>
      </c>
      <c r="K88" s="14" t="inlineStr"/>
      <c r="L88" s="14" t="inlineStr"/>
    </row>
    <row r="89">
      <c r="A89" s="5" t="inlineStr">
        <is>
          <t>5.20</t>
        </is>
      </c>
      <c r="B89" s="5" t="inlineStr">
        <is>
          <t>M5</t>
        </is>
      </c>
      <c r="C89" s="5" t="inlineStr">
        <is>
          <t>سجل النشاط المالي (17 نوع إجراء منها مصادرة التأمين وإرسال تذكير) فوق audit_logs</t>
        </is>
      </c>
      <c r="D89" s="5" t="inlineStr">
        <is>
          <t>FIN-ACT، NFR-AUDIT</t>
        </is>
      </c>
      <c r="E89" s="5" t="inlineStr">
        <is>
          <t>جديد</t>
        </is>
      </c>
      <c r="F89" s="5" t="inlineStr">
        <is>
          <t>BE+FE</t>
        </is>
      </c>
      <c r="G89" s="6" t="n">
        <v>0.5</v>
      </c>
      <c r="H89" s="5" t="inlineStr">
        <is>
          <t>لا</t>
        </is>
      </c>
      <c r="I89" s="14" t="inlineStr">
        <is>
          <t>⬜ لم يبدأ</t>
        </is>
      </c>
      <c r="J89" s="14" t="inlineStr">
        <is>
          <t>feat/m5-finance-v2</t>
        </is>
      </c>
      <c r="K89" s="14" t="inlineStr"/>
      <c r="L89" s="14" t="inlineStr"/>
    </row>
    <row r="90">
      <c r="A90" s="5" t="inlineStr">
        <is>
          <t>5.21</t>
        </is>
      </c>
      <c r="B90" s="5" t="inlineStr">
        <is>
          <t>M5</t>
        </is>
      </c>
      <c r="C90" s="5" t="inlineStr">
        <is>
          <t>صلاحيات الموظفين المالية: عرض POS، مسحوبات، تحصيل، إصدار/إلغاء بـ 2FA، مصروفات، أصناف، استيراد، التقارير المالية — تمديد خريطة المجموعات من 1.3</t>
        </is>
      </c>
      <c r="D90" s="5" t="inlineStr">
        <is>
          <t>§6</t>
        </is>
      </c>
      <c r="E90" s="5" t="inlineStr">
        <is>
          <t>توسعة: backend/app/Enums/PosPermission.php</t>
        </is>
      </c>
      <c r="F90" s="5" t="inlineStr">
        <is>
          <t>BE</t>
        </is>
      </c>
      <c r="G90" s="6" t="n">
        <v>0.5</v>
      </c>
      <c r="H90" s="5" t="inlineStr">
        <is>
          <t>لا</t>
        </is>
      </c>
      <c r="I90" s="14" t="inlineStr">
        <is>
          <t>⬜ لم يبدأ</t>
        </is>
      </c>
      <c r="J90" s="14" t="inlineStr">
        <is>
          <t>feat/m5-finance-v2</t>
        </is>
      </c>
      <c r="K90" s="14" t="inlineStr"/>
      <c r="L90" s="14" t="inlineStr"/>
    </row>
    <row r="91">
      <c r="A91" s="5" t="inlineStr">
        <is>
          <t>5.22</t>
        </is>
      </c>
      <c r="B91" s="5" t="inlineStr">
        <is>
          <t>M5</t>
        </is>
      </c>
      <c r="C91" s="5" t="inlineStr">
        <is>
          <t>اختبار الدورة الكاملة: اشتراك ← حركات ← فاتورة ← دفعة جزئية ← إشعار دائن ← استرداد + توافق الفواتير والاختبارات القديمة</t>
        </is>
      </c>
      <c r="D91" s="5" t="inlineStr">
        <is>
          <t>—</t>
        </is>
      </c>
      <c r="E91" s="5" t="inlineStr">
        <is>
          <t>جديد</t>
        </is>
      </c>
      <c r="F91" s="5" t="inlineStr">
        <is>
          <t>QA</t>
        </is>
      </c>
      <c r="G91" s="6" t="n">
        <v>1</v>
      </c>
      <c r="H91" s="5" t="inlineStr">
        <is>
          <t>لا</t>
        </is>
      </c>
      <c r="I91" s="14" t="inlineStr">
        <is>
          <t>⬜ لم يبدأ</t>
        </is>
      </c>
      <c r="J91" s="14" t="inlineStr">
        <is>
          <t>feat/m5-finance-v2</t>
        </is>
      </c>
      <c r="K91" s="14" t="inlineStr"/>
      <c r="L91" s="14" t="inlineStr"/>
    </row>
    <row r="92">
      <c r="A92" s="5" t="inlineStr">
        <is>
          <t>5.23</t>
        </is>
      </c>
      <c r="B92" s="5" t="inlineStr">
        <is>
          <t>M5</t>
        </is>
      </c>
      <c r="C92" s="5" t="inlineStr">
        <is>
          <t>ملف المشترك المالي: تبويب المحفظة والتأمين والحركات غير المفوترة والفواتير والسندات والإشعارات الدائنة داخل ملف المشترك (4.11)</t>
        </is>
      </c>
      <c r="D92" s="5" t="inlineStr">
        <is>
          <t>FR-MEM-08، §3.3</t>
        </is>
      </c>
      <c r="E92" s="5" t="inlineStr">
        <is>
          <t>جديد</t>
        </is>
      </c>
      <c r="F92" s="5" t="inlineStr">
        <is>
          <t>BE+FE</t>
        </is>
      </c>
      <c r="G92" s="6" t="n">
        <v>0.75</v>
      </c>
      <c r="H92" s="5" t="inlineStr">
        <is>
          <t>لا</t>
        </is>
      </c>
      <c r="I92" s="14" t="inlineStr">
        <is>
          <t>⬜ لم يبدأ</t>
        </is>
      </c>
      <c r="J92" s="14" t="inlineStr">
        <is>
          <t>feat/m5-finance-v2</t>
        </is>
      </c>
      <c r="K92" s="14" t="inlineStr"/>
      <c r="L92" s="14" t="inlineStr"/>
    </row>
    <row r="93">
      <c r="A93" s="5" t="inlineStr">
        <is>
          <t>6.1</t>
        </is>
      </c>
      <c r="B93" s="5" t="inlineStr">
        <is>
          <t>M6</t>
        </is>
      </c>
      <c r="C93" s="5" t="inlineStr">
        <is>
          <t>مستورد بيانات CoWorkSpaces (مشتركون، أجهزة، عقود، Roster، UTR) كأمر artisan قابل للإعادة وتقرير مطابقة</t>
        </is>
      </c>
      <c r="D93" s="5" t="inlineStr">
        <is>
          <t>§7.3</t>
        </is>
      </c>
      <c r="E93" s="5" t="inlineStr">
        <is>
          <t>جديد</t>
        </is>
      </c>
      <c r="F93" s="5" t="inlineStr">
        <is>
          <t>BE</t>
        </is>
      </c>
      <c r="G93" s="6" t="n">
        <v>1</v>
      </c>
      <c r="H93" s="5" t="inlineStr">
        <is>
          <t>لا</t>
        </is>
      </c>
      <c r="I93" s="14" t="inlineStr">
        <is>
          <t>⬜ لم يبدأ</t>
        </is>
      </c>
      <c r="J93" s="14" t="inlineStr">
        <is>
          <t>feat/m6-gsg-ur</t>
        </is>
      </c>
      <c r="K93" s="14" t="inlineStr"/>
      <c r="L93" s="14" t="inlineStr"/>
    </row>
    <row r="94">
      <c r="A94" s="5" t="inlineStr">
        <is>
          <t>6.2</t>
        </is>
      </c>
      <c r="B94" s="5" t="inlineStr">
        <is>
          <t>M6</t>
        </is>
      </c>
      <c r="C94" s="5" t="inlineStr">
        <is>
          <t>مجموعة المعلمات (32 حقلًا) وإصدارات السعة capacity_versions (Tmax) غير قابلة للتعديل + طلبات التغيير عبر الموافقات وإعادة حساب Tmax/UR بعد الاعتماد</t>
        </is>
      </c>
      <c r="D94" s="5" t="inlineStr">
        <is>
          <t>ENT-ParameterSet، FR-SA-06، FLOW-5</t>
        </is>
      </c>
      <c r="E94" s="5" t="inlineStr">
        <is>
          <t>جديد</t>
        </is>
      </c>
      <c r="F94" s="5" t="inlineStr">
        <is>
          <t>BE+FE</t>
        </is>
      </c>
      <c r="G94" s="6" t="n">
        <v>1</v>
      </c>
      <c r="H94" s="5" t="inlineStr">
        <is>
          <t>لا</t>
        </is>
      </c>
      <c r="I94" s="14" t="inlineStr">
        <is>
          <t>⬜ لم يبدأ</t>
        </is>
      </c>
      <c r="J94" s="14" t="inlineStr">
        <is>
          <t>feat/m6-gsg-ur</t>
        </is>
      </c>
      <c r="K94" s="14" t="inlineStr"/>
      <c r="L94" s="14" t="inlineStr"/>
    </row>
    <row r="95">
      <c r="A95" s="5" t="inlineStr">
        <is>
          <t>6.3</t>
        </is>
      </c>
      <c r="B95" s="5" t="inlineStr">
        <is>
          <t>M6</t>
        </is>
      </c>
      <c r="C95" s="5" t="inlineStr">
        <is>
          <t>العطلات المعتمدة وطلبات اعتمادها (تُخرج أيامها من أيام العمل)</t>
        </is>
      </c>
      <c r="D95" s="5" t="inlineStr">
        <is>
          <t>FL-TP-HOLIDAY، ENT-Holiday</t>
        </is>
      </c>
      <c r="E95" s="5" t="inlineStr">
        <is>
          <t>جديد</t>
        </is>
      </c>
      <c r="F95" s="5" t="inlineStr">
        <is>
          <t>BE+FE</t>
        </is>
      </c>
      <c r="G95" s="6" t="n">
        <v>0.5</v>
      </c>
      <c r="H95" s="5" t="inlineStr">
        <is>
          <t>لا</t>
        </is>
      </c>
      <c r="I95" s="14" t="inlineStr">
        <is>
          <t>⬜ لم يبدأ</t>
        </is>
      </c>
      <c r="J95" s="14" t="inlineStr">
        <is>
          <t>feat/m6-gsg-ur</t>
        </is>
      </c>
      <c r="K95" s="14" t="inlineStr"/>
      <c r="L95" s="14" t="inlineStr"/>
    </row>
    <row r="96">
      <c r="A96" s="5" t="inlineStr">
        <is>
          <t>6.4</t>
        </is>
      </c>
      <c r="B96" s="5" t="inlineStr">
        <is>
          <t>M6</t>
        </is>
      </c>
      <c r="C96" s="5" t="inlineStr">
        <is>
          <t>UrCalculator (حاسبة نقية بنسخة ثابتة): AR → C → max(Actual, Contract × C) → TypeW → ΣH / Tmax، القراءات RAW/UTD/EXPECTED/FINAL، Qualified-C، السعة 80×8×21 — test-first واختبارات ذهبية (3.8% / 71.8%)</t>
        </is>
      </c>
      <c r="D96" s="5" t="inlineStr">
        <is>
          <t>FR-TRK-03، FR-UR-01</t>
        </is>
      </c>
      <c r="E96" s="5" t="inlineStr">
        <is>
          <t>جديد</t>
        </is>
      </c>
      <c r="F96" s="5" t="inlineStr">
        <is>
          <t>BE</t>
        </is>
      </c>
      <c r="G96" s="6" t="n">
        <v>2</v>
      </c>
      <c r="H96" s="5" t="inlineStr">
        <is>
          <t>لا</t>
        </is>
      </c>
      <c r="I96" s="14" t="inlineStr">
        <is>
          <t>⬜ لم يبدأ</t>
        </is>
      </c>
      <c r="J96" s="14" t="inlineStr">
        <is>
          <t>feat/m6-gsg-ur</t>
        </is>
      </c>
      <c r="K96" s="14" t="inlineStr"/>
      <c r="L96" s="14" t="inlineStr"/>
    </row>
    <row r="97">
      <c r="A97" s="5" t="inlineStr">
        <is>
          <t>6.5</t>
        </is>
      </c>
      <c r="B97" s="5" t="inlineStr">
        <is>
          <t>M6</t>
        </is>
      </c>
      <c r="C97" s="5" t="inlineStr">
        <is>
          <t>GSG UR Tracker: معالج 4 خطوات (الإعدادات، الملخص، حسب النوع، المشتركون)، أنماط الحضور، سلسلة الحساب، «قرار التمويل النهائي»</t>
        </is>
      </c>
      <c r="D97" s="5" t="inlineStr">
        <is>
          <t>FR-TRK-01..03</t>
        </is>
      </c>
      <c r="E97" s="5" t="inlineStr">
        <is>
          <t>جديد</t>
        </is>
      </c>
      <c r="F97" s="5" t="inlineStr">
        <is>
          <t>BE+FE</t>
        </is>
      </c>
      <c r="G97" s="6" t="n">
        <v>1</v>
      </c>
      <c r="H97" s="5" t="inlineStr">
        <is>
          <t>لا</t>
        </is>
      </c>
      <c r="I97" s="14" t="inlineStr">
        <is>
          <t>⬜ لم يبدأ</t>
        </is>
      </c>
      <c r="J97" s="14" t="inlineStr">
        <is>
          <t>feat/m6-gsg-ur</t>
        </is>
      </c>
      <c r="K97" s="14" t="inlineStr"/>
      <c r="L97" s="14" t="inlineStr"/>
    </row>
    <row r="98">
      <c r="A98" s="5" t="inlineStr">
        <is>
          <t>6.6</t>
        </is>
      </c>
      <c r="B98" s="5" t="inlineStr">
        <is>
          <t>M6</t>
        </is>
      </c>
      <c r="C98" s="5" t="inlineStr">
        <is>
          <t>تشغيلات الشهر ur_month_runs (مفتوح ← مغلق ← معتمد/مُعاد فتحه؛ تُجمَّد عند الإغلاق) + سجلات utr_records (المتعاقد، الفعلي، AR%، C، المقفل، التبرير، حالة الاعتماد)</t>
        </is>
      </c>
      <c r="D98" s="5" t="inlineStr">
        <is>
          <t>ENT-UTR</t>
        </is>
      </c>
      <c r="E98" s="5" t="inlineStr">
        <is>
          <t>جديد</t>
        </is>
      </c>
      <c r="F98" s="5" t="inlineStr">
        <is>
          <t>BE</t>
        </is>
      </c>
      <c r="G98" s="6" t="n">
        <v>0.75</v>
      </c>
      <c r="H98" s="5" t="inlineStr">
        <is>
          <t>لا</t>
        </is>
      </c>
      <c r="I98" s="14" t="inlineStr">
        <is>
          <t>⬜ لم يبدأ</t>
        </is>
      </c>
      <c r="J98" s="14" t="inlineStr">
        <is>
          <t>feat/m6-gsg-ur</t>
        </is>
      </c>
      <c r="K98" s="14" t="inlineStr"/>
      <c r="L98" s="14" t="inlineStr"/>
    </row>
    <row r="99">
      <c r="A99" s="5" t="inlineStr">
        <is>
          <t>6.7</t>
        </is>
      </c>
      <c r="B99" s="5" t="inlineStr">
        <is>
          <t>M6</t>
        </is>
      </c>
      <c r="C99" s="5" t="inlineStr">
        <is>
          <t>معالج إقفال الشهر: 4 خطوات، 22 فحصًا في 7 فئات (class لكل فحص)، إصلاح تلقائي و«إصلاح ذكي»، إعادة الحساب، الإرسال لمراجعة UTR</t>
        </is>
      </c>
      <c r="D99" s="5" t="inlineStr">
        <is>
          <t>FR-MCL-01..03</t>
        </is>
      </c>
      <c r="E99" s="5" t="inlineStr">
        <is>
          <t>جديد</t>
        </is>
      </c>
      <c r="F99" s="5" t="inlineStr">
        <is>
          <t>BE+FE</t>
        </is>
      </c>
      <c r="G99" s="6" t="n">
        <v>2</v>
      </c>
      <c r="H99" s="5" t="inlineStr">
        <is>
          <t>لا</t>
        </is>
      </c>
      <c r="I99" s="14" t="inlineStr">
        <is>
          <t>⬜ لم يبدأ</t>
        </is>
      </c>
      <c r="J99" s="14" t="inlineStr">
        <is>
          <t>feat/m6-gsg-ur</t>
        </is>
      </c>
      <c r="K99" s="14" t="inlineStr"/>
      <c r="L99" s="14" t="inlineStr"/>
    </row>
    <row r="100">
      <c r="A100" s="5" t="inlineStr">
        <is>
          <t>6.8</t>
        </is>
      </c>
      <c r="B100" s="5" t="inlineStr">
        <is>
          <t>M6</t>
        </is>
      </c>
      <c r="C100" s="5" t="inlineStr">
        <is>
          <t>مراجعة UTR للمالك: لكل مشترك المتعاقد/الفعلي/AR%/C/المقفل/ملاءمة النوع، «ملاحظة تبرير»، «اقتراحات النوع الذكي»، التحليل السلوكي</t>
        </is>
      </c>
      <c r="D100" s="5" t="inlineStr">
        <is>
          <t>FR-UR-04</t>
        </is>
      </c>
      <c r="E100" s="5" t="inlineStr">
        <is>
          <t>جديد</t>
        </is>
      </c>
      <c r="F100" s="5" t="inlineStr">
        <is>
          <t>BE+FE</t>
        </is>
      </c>
      <c r="G100" s="6" t="n">
        <v>1</v>
      </c>
      <c r="H100" s="5" t="inlineStr">
        <is>
          <t>لا</t>
        </is>
      </c>
      <c r="I100" s="14" t="inlineStr">
        <is>
          <t>⬜ لم يبدأ</t>
        </is>
      </c>
      <c r="J100" s="14" t="inlineStr">
        <is>
          <t>feat/m6-gsg-ur</t>
        </is>
      </c>
      <c r="K100" s="14" t="inlineStr"/>
      <c r="L100" s="14" t="inlineStr"/>
    </row>
    <row r="101">
      <c r="A101" s="5" t="inlineStr">
        <is>
          <t>6.9</t>
        </is>
      </c>
      <c r="B101" s="5" t="inlineStr">
        <is>
          <t>M6</t>
        </is>
      </c>
      <c r="C101" s="5" t="inlineStr">
        <is>
          <t>صفحة الاستخدام: UR الرسمي (SSOT) وثلاث قراءات، الحالي مقابل المتوقع بعد الموافقة، توزيع الساعات وC، اتجاه 12 شهرًا، توصيات، «تحديث الآن»، الشذوذ والمحاكاة والمساهمة</t>
        </is>
      </c>
      <c r="D101" s="5" t="inlineStr">
        <is>
          <t>FR-UR-01..03</t>
        </is>
      </c>
      <c r="E101" s="5" t="inlineStr">
        <is>
          <t>جديد</t>
        </is>
      </c>
      <c r="F101" s="5" t="inlineStr">
        <is>
          <t>BE+FE</t>
        </is>
      </c>
      <c r="G101" s="6" t="n">
        <v>1</v>
      </c>
      <c r="H101" s="5" t="inlineStr">
        <is>
          <t>لا</t>
        </is>
      </c>
      <c r="I101" s="14" t="inlineStr">
        <is>
          <t>⬜ لم يبدأ</t>
        </is>
      </c>
      <c r="J101" s="14" t="inlineStr">
        <is>
          <t>feat/m6-gsg-ur</t>
        </is>
      </c>
      <c r="K101" s="14" t="inlineStr"/>
      <c r="L101" s="14" t="inlineStr"/>
    </row>
    <row r="102">
      <c r="A102" s="5" t="inlineStr">
        <is>
          <t>6.14</t>
        </is>
      </c>
      <c r="B102" s="5" t="inlineStr">
        <is>
          <t>M6</t>
        </is>
      </c>
      <c r="C102" s="5" t="inlineStr">
        <is>
          <t>مخطط البرامج: programs وagreements وfunded_seat_assignments وسجل الحوكمة append-only وprogram_claims + seeder تجريبي — قبل 6.10 و6.11</t>
        </is>
      </c>
      <c r="D102" s="5" t="inlineStr">
        <is>
          <t>ENT-Program، FR-PRG-01..05</t>
        </is>
      </c>
      <c r="E102" s="5" t="inlineStr">
        <is>
          <t>جديد</t>
        </is>
      </c>
      <c r="F102" s="5" t="inlineStr">
        <is>
          <t>BE</t>
        </is>
      </c>
      <c r="G102" s="6" t="n">
        <v>1</v>
      </c>
      <c r="H102" s="5" t="inlineStr">
        <is>
          <t>لا</t>
        </is>
      </c>
      <c r="I102" s="14" t="inlineStr">
        <is>
          <t>⬜ لم يبدأ</t>
        </is>
      </c>
      <c r="J102" s="14" t="inlineStr">
        <is>
          <t>feat/m6-gsg-ur</t>
        </is>
      </c>
      <c r="K102" s="14" t="inlineStr"/>
      <c r="L102" s="14" t="inlineStr"/>
    </row>
    <row r="103">
      <c r="A103" s="5" t="inlineStr">
        <is>
          <t>6.10</t>
        </is>
      </c>
      <c r="B103" s="5" t="inlineStr">
        <is>
          <t>M6</t>
        </is>
      </c>
      <c r="C103" s="5" t="inlineStr">
        <is>
          <t>البرامج (عرض للمالك): المحفظة، لوحة المقاعد لكل اتفاقية، «لايف» أصحاب المقاعد الممولة، تقرير المساحة يومًا بيوم بتصدير PDF/CSV (وWord/Excel عبر 7.4)</t>
        </is>
      </c>
      <c r="D103" s="5" t="inlineStr">
        <is>
          <t>FR-PRG-01، FR-PRG-03..05</t>
        </is>
      </c>
      <c r="E103" s="5" t="inlineStr">
        <is>
          <t>جديد</t>
        </is>
      </c>
      <c r="F103" s="5" t="inlineStr">
        <is>
          <t>BE+FE</t>
        </is>
      </c>
      <c r="G103" s="6" t="n">
        <v>1.25</v>
      </c>
      <c r="H103" s="5" t="inlineStr">
        <is>
          <t>لا</t>
        </is>
      </c>
      <c r="I103" s="14" t="inlineStr">
        <is>
          <t>⬜ لم يبدأ</t>
        </is>
      </c>
      <c r="J103" s="14" t="inlineStr">
        <is>
          <t>feat/m6-gsg-ur</t>
        </is>
      </c>
      <c r="K103" s="14" t="inlineStr"/>
      <c r="L103" s="14" t="inlineStr"/>
    </row>
    <row r="104">
      <c r="A104" s="5" t="inlineStr">
        <is>
          <t>6.11</t>
        </is>
      </c>
      <c r="B104" s="5" t="inlineStr">
        <is>
          <t>M6</t>
        </is>
      </c>
      <c r="C104" s="5" t="inlineStr">
        <is>
          <t>المطالبات الشهرية: المبلغ من سجل الحوكمة يُجمَّد عند الإرسال مع IBAN، خطاب PDF/Word/TXT، سحب المطالبة</t>
        </is>
      </c>
      <c r="D104" s="5" t="inlineStr">
        <is>
          <t>FR-PRG-02، FLOW-UR</t>
        </is>
      </c>
      <c r="E104" s="5" t="inlineStr">
        <is>
          <t>جديد</t>
        </is>
      </c>
      <c r="F104" s="5" t="inlineStr">
        <is>
          <t>BE+FE</t>
        </is>
      </c>
      <c r="G104" s="6" t="n">
        <v>0.75</v>
      </c>
      <c r="H104" s="5" t="inlineStr">
        <is>
          <t>لا</t>
        </is>
      </c>
      <c r="I104" s="14" t="inlineStr">
        <is>
          <t>⬜ لم يبدأ</t>
        </is>
      </c>
      <c r="J104" s="14" t="inlineStr">
        <is>
          <t>feat/m6-gsg-ur</t>
        </is>
      </c>
      <c r="K104" s="14" t="inlineStr"/>
      <c r="L104" s="14" t="inlineStr"/>
    </row>
    <row r="105">
      <c r="A105" s="5" t="inlineStr">
        <is>
          <t>6.12</t>
        </is>
      </c>
      <c r="B105" s="5" t="inlineStr">
        <is>
          <t>M6</t>
        </is>
      </c>
      <c r="C105" s="5" t="inlineStr">
        <is>
          <t>تشخيصات المشتركين /debug ومركز الإصلاح (نشاط بدون قائمة، ملفات ناقصة، تكرارات)</t>
        </is>
      </c>
      <c r="D105" s="5" t="inlineStr">
        <is>
          <t>FR-MCL-02</t>
        </is>
      </c>
      <c r="E105" s="5" t="inlineStr">
        <is>
          <t>جديد</t>
        </is>
      </c>
      <c r="F105" s="5" t="inlineStr">
        <is>
          <t>BE+FE</t>
        </is>
      </c>
      <c r="G105" s="6" t="n">
        <v>0.5</v>
      </c>
      <c r="H105" s="5" t="inlineStr">
        <is>
          <t>لا</t>
        </is>
      </c>
      <c r="I105" s="14" t="inlineStr">
        <is>
          <t>⬜ لم يبدأ</t>
        </is>
      </c>
      <c r="J105" s="14" t="inlineStr">
        <is>
          <t>feat/m6-gsg-ur</t>
        </is>
      </c>
      <c r="K105" s="14" t="inlineStr"/>
      <c r="L105" s="14" t="inlineStr"/>
    </row>
    <row r="106">
      <c r="A106" s="5" t="inlineStr">
        <is>
          <t>6.13</t>
        </is>
      </c>
      <c r="B106" s="5" t="inlineStr">
        <is>
          <t>M6</t>
        </is>
      </c>
      <c r="C106" s="5" t="inlineStr">
        <is>
          <t>اختبار المطابقة: إعادة حساب أكتوبر 2026 من البيانات المستوردة (أو من قيم UTR/AR% المستوردة إن غابت الجلسات الخام — السؤال المفتوح 5) + شهر من التشغيل المتوازي</t>
        </is>
      </c>
      <c r="D106" s="5" t="inlineStr">
        <is>
          <t>—</t>
        </is>
      </c>
      <c r="E106" s="5" t="inlineStr">
        <is>
          <t>جديد</t>
        </is>
      </c>
      <c r="F106" s="5" t="inlineStr">
        <is>
          <t>QA</t>
        </is>
      </c>
      <c r="G106" s="6" t="n">
        <v>1</v>
      </c>
      <c r="H106" s="5" t="inlineStr">
        <is>
          <t>لا</t>
        </is>
      </c>
      <c r="I106" s="14" t="inlineStr">
        <is>
          <t>⬜ لم يبدأ</t>
        </is>
      </c>
      <c r="J106" s="14" t="inlineStr">
        <is>
          <t>feat/m6-gsg-ur</t>
        </is>
      </c>
      <c r="K106" s="14" t="inlineStr"/>
      <c r="L106" s="14" t="inlineStr"/>
    </row>
    <row r="107">
      <c r="A107" s="5" t="inlineStr">
        <is>
          <t>7.1</t>
        </is>
      </c>
      <c r="B107" s="5" t="inlineStr">
        <is>
          <t>M7</t>
        </is>
      </c>
      <c r="C107" s="5" t="inlineStr">
        <is>
          <t>التحليلات: نظرة عامة، متقدم، شهري، الاحتفاظ، المقارنة، التقييم، مؤشرات الأداء، الأجهزة، الخريطة الحرارية</t>
        </is>
      </c>
      <c r="D107" s="5" t="inlineStr">
        <is>
          <t>FR-ANL-01</t>
        </is>
      </c>
      <c r="E107" s="5" t="inlineStr">
        <is>
          <t>توسعة: frontend/src/components/features/owner/MemberAnalytics.tsx</t>
        </is>
      </c>
      <c r="F107" s="5" t="inlineStr">
        <is>
          <t>BE+FE</t>
        </is>
      </c>
      <c r="G107" s="6" t="n">
        <v>1.5</v>
      </c>
      <c r="H107" s="5" t="inlineStr">
        <is>
          <t>لا</t>
        </is>
      </c>
      <c r="I107" s="14" t="inlineStr">
        <is>
          <t>⬜ لم يبدأ</t>
        </is>
      </c>
      <c r="J107" s="14" t="inlineStr">
        <is>
          <t>feat/m7-reports</t>
        </is>
      </c>
      <c r="K107" s="14" t="inlineStr"/>
      <c r="L107" s="14" t="inlineStr"/>
    </row>
    <row r="108">
      <c r="A108" s="5" t="inlineStr">
        <is>
          <t>7.2</t>
        </is>
      </c>
      <c r="B108" s="5" t="inlineStr">
        <is>
          <t>M7</t>
        </is>
      </c>
      <c r="C108" s="5" t="inlineStr">
        <is>
          <t>محرك التقارير + 6 تقارير أساسية: الملخص التنفيذي، الشهري، السعة، قائمة المشتركين، الإشغال، تقرير GSG الشهري لـ UR — مع السنة/الشهر و«إنشاء سريع»</t>
        </is>
      </c>
      <c r="D108" s="5" t="inlineStr">
        <is>
          <t>FR-RPT-01</t>
        </is>
      </c>
      <c r="E108" s="5" t="inlineStr">
        <is>
          <t>توسعة: backend/app/Services/OwnerReportsService.php</t>
        </is>
      </c>
      <c r="F108" s="5" t="inlineStr">
        <is>
          <t>BE+FE</t>
        </is>
      </c>
      <c r="G108" s="6" t="n">
        <v>1.5</v>
      </c>
      <c r="H108" s="5" t="inlineStr">
        <is>
          <t>لا</t>
        </is>
      </c>
      <c r="I108" s="14" t="inlineStr">
        <is>
          <t>⬜ لم يبدأ</t>
        </is>
      </c>
      <c r="J108" s="14" t="inlineStr">
        <is>
          <t>feat/m7-reports</t>
        </is>
      </c>
      <c r="K108" s="14" t="inlineStr"/>
      <c r="L108" s="14" t="inlineStr"/>
    </row>
    <row r="109">
      <c r="A109" s="5" t="inlineStr">
        <is>
          <t>7.3</t>
        </is>
      </c>
      <c r="B109" s="5" t="inlineStr">
        <is>
          <t>M7</t>
        </is>
      </c>
      <c r="C109" s="5" t="inlineStr">
        <is>
          <t>التقارير الـ 12 المسمّاة الباقية: صحة المشتركين، الاحتفاظ، تحليل الإشغال المعمق، تشخيص الإشغال، الولاء، استهلاك الشبكة، توقع الطلب، الإيراد المحتمل، مقارنة الفترات، جودة البيانات، تحليل الوقت، اللوحة الموحدة + التقرير الـ 19 بعد مراجعة الملحق أ</t>
        </is>
      </c>
      <c r="D109" s="5" t="inlineStr">
        <is>
          <t>FR-RPT-01</t>
        </is>
      </c>
      <c r="E109" s="5" t="inlineStr">
        <is>
          <t>جديد</t>
        </is>
      </c>
      <c r="F109" s="5" t="inlineStr">
        <is>
          <t>BE+FE</t>
        </is>
      </c>
      <c r="G109" s="6" t="n">
        <v>1.5</v>
      </c>
      <c r="H109" s="5" t="inlineStr">
        <is>
          <t>نعم</t>
        </is>
      </c>
      <c r="I109" s="14" t="inlineStr">
        <is>
          <t>⬜ لم يبدأ</t>
        </is>
      </c>
      <c r="J109" s="14" t="inlineStr">
        <is>
          <t>feat/m7-reports</t>
        </is>
      </c>
      <c r="K109" s="14" t="inlineStr"/>
      <c r="L109" s="14" t="inlineStr"/>
    </row>
    <row r="110">
      <c r="A110" s="5" t="inlineStr">
        <is>
          <t>7.4</t>
        </is>
      </c>
      <c r="B110" s="5" t="inlineStr">
        <is>
          <t>M7</t>
        </is>
      </c>
      <c r="C110" s="5" t="inlineStr">
        <is>
          <t>التصدير الموحد: PDF (mPDF) / Word (phpword) / Excel (phpspreadsheet) / CSV / JSON / طباعة</t>
        </is>
      </c>
      <c r="D110" s="5" t="inlineStr">
        <is>
          <t>NFR-INT</t>
        </is>
      </c>
      <c r="E110" s="5" t="inlineStr">
        <is>
          <t>توسعة: backend/app/Services/Owner/OwnerExportService.php (CSV فقط)</t>
        </is>
      </c>
      <c r="F110" s="5" t="inlineStr">
        <is>
          <t>BE</t>
        </is>
      </c>
      <c r="G110" s="6" t="n">
        <v>1</v>
      </c>
      <c r="H110" s="5" t="inlineStr">
        <is>
          <t>لا</t>
        </is>
      </c>
      <c r="I110" s="14" t="inlineStr">
        <is>
          <t>⬜ لم يبدأ</t>
        </is>
      </c>
      <c r="J110" s="14" t="inlineStr">
        <is>
          <t>feat/m7-reports</t>
        </is>
      </c>
      <c r="K110" s="14" t="inlineStr"/>
      <c r="L110" s="14" t="inlineStr"/>
    </row>
    <row r="111">
      <c r="A111" s="5" t="inlineStr">
        <is>
          <t>7.5</t>
        </is>
      </c>
      <c r="B111" s="5" t="inlineStr">
        <is>
          <t>M7</t>
        </is>
      </c>
      <c r="C111" s="5" t="inlineStr">
        <is>
          <t>منشئ التقارير: 21 مكوّنًا، سحب وإفلات، حفظ، استيراد/تصدير JSON</t>
        </is>
      </c>
      <c r="D111" s="5" t="inlineStr">
        <is>
          <t>ملحق أ §أ.4</t>
        </is>
      </c>
      <c r="E111" s="5" t="inlineStr">
        <is>
          <t>جديد</t>
        </is>
      </c>
      <c r="F111" s="5" t="inlineStr">
        <is>
          <t>FE</t>
        </is>
      </c>
      <c r="G111" s="6" t="n">
        <v>2</v>
      </c>
      <c r="H111" s="5" t="inlineStr">
        <is>
          <t>نعم</t>
        </is>
      </c>
      <c r="I111" s="14" t="inlineStr">
        <is>
          <t>⬜ لم يبدأ</t>
        </is>
      </c>
      <c r="J111" s="14" t="inlineStr">
        <is>
          <t>feat/m7-reports</t>
        </is>
      </c>
      <c r="K111" s="14" t="inlineStr"/>
      <c r="L111" s="14" t="inlineStr"/>
    </row>
    <row r="112">
      <c r="A112" s="5" t="inlineStr">
        <is>
          <t>8.1</t>
        </is>
      </c>
      <c r="B112" s="5" t="inlineStr">
        <is>
          <t>M8</t>
        </is>
      </c>
      <c r="C112" s="5" t="inlineStr">
        <is>
          <t>إدارة المساحات: إنشاء من الأدمن، خطة المنصة وحدود الميزات، الحالة، النطاق</t>
        </is>
      </c>
      <c r="D112" s="5" t="inlineStr">
        <is>
          <t>FR-SA-01</t>
        </is>
      </c>
      <c r="E112" s="5" t="inlineStr">
        <is>
          <t>توسعة: backend/app/Http/Controllers/WorkspaceController.php</t>
        </is>
      </c>
      <c r="F112" s="5" t="inlineStr">
        <is>
          <t>BE+FE</t>
        </is>
      </c>
      <c r="G112" s="6" t="n">
        <v>0.75</v>
      </c>
      <c r="H112" s="5" t="inlineStr">
        <is>
          <t>لا</t>
        </is>
      </c>
      <c r="I112" s="14" t="inlineStr">
        <is>
          <t>⬜ لم يبدأ</t>
        </is>
      </c>
      <c r="J112" s="14" t="inlineStr">
        <is>
          <t>feat/m8-super-admin</t>
        </is>
      </c>
      <c r="K112" s="14" t="inlineStr"/>
      <c r="L112" s="14" t="inlineStr"/>
    </row>
    <row r="113">
      <c r="A113" s="5" t="inlineStr">
        <is>
          <t>8.2</t>
        </is>
      </c>
      <c r="B113" s="5" t="inlineStr">
        <is>
          <t>M8</t>
        </is>
      </c>
      <c r="C113" s="5" t="inlineStr">
        <is>
          <t>طابور اعتماد UTR لكل المساحات بالشهر: قراءة التبرير، اعتماد/رفض لكل مشترك وجماعي، أثر فوري على UR الرسمي، إعادة فتح شهر مغلق</t>
        </is>
      </c>
      <c r="D113" s="5" t="inlineStr">
        <is>
          <t>FR-SA-02، FLOW-UR</t>
        </is>
      </c>
      <c r="E113" s="5" t="inlineStr">
        <is>
          <t>جديد</t>
        </is>
      </c>
      <c r="F113" s="5" t="inlineStr">
        <is>
          <t>BE+FE</t>
        </is>
      </c>
      <c r="G113" s="6" t="n">
        <v>1.5</v>
      </c>
      <c r="H113" s="5" t="inlineStr">
        <is>
          <t>لا</t>
        </is>
      </c>
      <c r="I113" s="14" t="inlineStr">
        <is>
          <t>⬜ لم يبدأ</t>
        </is>
      </c>
      <c r="J113" s="14" t="inlineStr">
        <is>
          <t>feat/m8-super-admin</t>
        </is>
      </c>
      <c r="K113" s="14" t="inlineStr"/>
      <c r="L113" s="14" t="inlineStr"/>
    </row>
    <row r="114">
      <c r="A114" s="5" t="inlineStr">
        <is>
          <t>8.3</t>
        </is>
      </c>
      <c r="B114" s="5" t="inlineStr">
        <is>
          <t>M8</t>
        </is>
      </c>
      <c r="C114" s="5" t="inlineStr">
        <is>
          <t>واجهة البرامج والاتفاقيات (فوق مخطط 6.14): المانح، المقاعد (متبرع بها/مدفوعة)، السعر، الفترة، نوع التمويل</t>
        </is>
      </c>
      <c r="D114" s="5" t="inlineStr">
        <is>
          <t>FR-SA-03، ENT-Program</t>
        </is>
      </c>
      <c r="E114" s="5" t="inlineStr">
        <is>
          <t>جديد</t>
        </is>
      </c>
      <c r="F114" s="5" t="inlineStr">
        <is>
          <t>BE+FE</t>
        </is>
      </c>
      <c r="G114" s="6" t="n">
        <v>0.75</v>
      </c>
      <c r="H114" s="5" t="inlineStr">
        <is>
          <t>لا</t>
        </is>
      </c>
      <c r="I114" s="14" t="inlineStr">
        <is>
          <t>⬜ لم يبدأ</t>
        </is>
      </c>
      <c r="J114" s="14" t="inlineStr">
        <is>
          <t>feat/m8-super-admin</t>
        </is>
      </c>
      <c r="K114" s="14" t="inlineStr"/>
      <c r="L114" s="14" t="inlineStr"/>
    </row>
    <row r="115">
      <c r="A115" s="5" t="inlineStr">
        <is>
          <t>8.4</t>
        </is>
      </c>
      <c r="B115" s="5" t="inlineStr">
        <is>
          <t>M8</t>
        </is>
      </c>
      <c r="C115" s="5" t="inlineStr">
        <is>
          <t>لوحة إسناد المقاعد الممولة وإخراجها + عرض سجل الحوكمة (السبب، تاريخ السريان، المنفّذ)</t>
        </is>
      </c>
      <c r="D115" s="5" t="inlineStr">
        <is>
          <t>FR-SA-03</t>
        </is>
      </c>
      <c r="E115" s="5" t="inlineStr">
        <is>
          <t>جديد</t>
        </is>
      </c>
      <c r="F115" s="5" t="inlineStr">
        <is>
          <t>BE+FE</t>
        </is>
      </c>
      <c r="G115" s="6" t="n">
        <v>0.5</v>
      </c>
      <c r="H115" s="5" t="inlineStr">
        <is>
          <t>لا</t>
        </is>
      </c>
      <c r="I115" s="14" t="inlineStr">
        <is>
          <t>⬜ لم يبدأ</t>
        </is>
      </c>
      <c r="J115" s="14" t="inlineStr">
        <is>
          <t>feat/m8-super-admin</t>
        </is>
      </c>
      <c r="K115" s="14" t="inlineStr"/>
      <c r="L115" s="14" t="inlineStr"/>
    </row>
    <row r="116">
      <c r="A116" s="5" t="inlineStr">
        <is>
          <t>8.5</t>
        </is>
      </c>
      <c r="B116" s="5" t="inlineStr">
        <is>
          <t>M8</t>
        </is>
      </c>
      <c r="C116" s="5" t="inlineStr">
        <is>
          <t>المطالبات: الاستلام، متابعة الصرف وحالاته، الخطابات</t>
        </is>
      </c>
      <c r="D116" s="5" t="inlineStr">
        <is>
          <t>FR-SA-04</t>
        </is>
      </c>
      <c r="E116" s="5" t="inlineStr">
        <is>
          <t>جديد</t>
        </is>
      </c>
      <c r="F116" s="5" t="inlineStr">
        <is>
          <t>BE+FE</t>
        </is>
      </c>
      <c r="G116" s="6" t="n">
        <v>0.75</v>
      </c>
      <c r="H116" s="5" t="inlineStr">
        <is>
          <t>لا</t>
        </is>
      </c>
      <c r="I116" s="14" t="inlineStr">
        <is>
          <t>⬜ لم يبدأ</t>
        </is>
      </c>
      <c r="J116" s="14" t="inlineStr">
        <is>
          <t>feat/m8-super-admin</t>
        </is>
      </c>
      <c r="K116" s="14" t="inlineStr"/>
      <c r="L116" s="14" t="inlineStr"/>
    </row>
    <row r="117">
      <c r="A117" s="5" t="inlineStr">
        <is>
          <t>8.6</t>
        </is>
      </c>
      <c r="B117" s="5" t="inlineStr">
        <is>
          <t>M8</t>
        </is>
      </c>
      <c r="C117" s="5" t="inlineStr">
        <is>
          <t>توحيد طابور الموافقات (فوق الشاشة البسيطة من 1.6): المعلمات، السعة، ساعات العمل، العطلات، النطاقات</t>
        </is>
      </c>
      <c r="D117" s="5" t="inlineStr">
        <is>
          <t>FR-SA-05</t>
        </is>
      </c>
      <c r="E117" s="5" t="inlineStr">
        <is>
          <t>جديد</t>
        </is>
      </c>
      <c r="F117" s="5" t="inlineStr">
        <is>
          <t>FE</t>
        </is>
      </c>
      <c r="G117" s="6" t="n">
        <v>0.75</v>
      </c>
      <c r="H117" s="5" t="inlineStr">
        <is>
          <t>لا</t>
        </is>
      </c>
      <c r="I117" s="14" t="inlineStr">
        <is>
          <t>⬜ لم يبدأ</t>
        </is>
      </c>
      <c r="J117" s="14" t="inlineStr">
        <is>
          <t>feat/m8-super-admin</t>
        </is>
      </c>
      <c r="K117" s="14" t="inlineStr"/>
      <c r="L117" s="14" t="inlineStr"/>
    </row>
    <row r="118">
      <c r="A118" s="5" t="inlineStr">
        <is>
          <t>8.7</t>
        </is>
      </c>
      <c r="B118" s="5" t="inlineStr">
        <is>
          <t>M8</t>
        </is>
      </c>
      <c r="C118" s="5" t="inlineStr">
        <is>
          <t>معلمات صيغة UR العامة (مستويات C، أوزان الأنواع، نمط الحضور) و«قرار التمويل النهائي»</t>
        </is>
      </c>
      <c r="D118" s="5" t="inlineStr">
        <is>
          <t>FR-SA-06</t>
        </is>
      </c>
      <c r="E118" s="5" t="inlineStr">
        <is>
          <t>جديد</t>
        </is>
      </c>
      <c r="F118" s="5" t="inlineStr">
        <is>
          <t>BE+FE</t>
        </is>
      </c>
      <c r="G118" s="6" t="n">
        <v>0.5</v>
      </c>
      <c r="H118" s="5" t="inlineStr">
        <is>
          <t>لا</t>
        </is>
      </c>
      <c r="I118" s="14" t="inlineStr">
        <is>
          <t>⬜ لم يبدأ</t>
        </is>
      </c>
      <c r="J118" s="14" t="inlineStr">
        <is>
          <t>feat/m8-super-admin</t>
        </is>
      </c>
      <c r="K118" s="14" t="inlineStr"/>
      <c r="L118" s="14" t="inlineStr"/>
    </row>
    <row r="119">
      <c r="A119" s="5" t="inlineStr">
        <is>
          <t>8.8</t>
        </is>
      </c>
      <c r="B119" s="5" t="inlineStr">
        <is>
          <t>M8</t>
        </is>
      </c>
      <c r="C119" s="5" t="inlineStr">
        <is>
          <t>مراقبة الراوترات عبر المساحات (آخر مزامنة، الإصدار، الأخطاء) + تنبيه عند توقف راوتر</t>
        </is>
      </c>
      <c r="D119" s="5" t="inlineStr">
        <is>
          <t>FR-SA-07</t>
        </is>
      </c>
      <c r="E119" s="5" t="inlineStr">
        <is>
          <t>جديد</t>
        </is>
      </c>
      <c r="F119" s="5" t="inlineStr">
        <is>
          <t>BE+FE</t>
        </is>
      </c>
      <c r="G119" s="6" t="n">
        <v>0.75</v>
      </c>
      <c r="H119" s="5" t="inlineStr">
        <is>
          <t>لا</t>
        </is>
      </c>
      <c r="I119" s="14" t="inlineStr">
        <is>
          <t>⬜ لم يبدأ</t>
        </is>
      </c>
      <c r="J119" s="14" t="inlineStr">
        <is>
          <t>feat/m8-super-admin</t>
        </is>
      </c>
      <c r="K119" s="14" t="inlineStr"/>
      <c r="L119" s="14" t="inlineStr"/>
    </row>
    <row r="120">
      <c r="A120" s="5" t="inlineStr">
        <is>
          <t>8.9</t>
        </is>
      </c>
      <c r="B120" s="5" t="inlineStr">
        <is>
          <t>M8</t>
        </is>
      </c>
      <c r="C120" s="5" t="inlineStr">
        <is>
          <t>تقارير مجمّعة للجهة المانحة عبر المساحات + عرض مجمّع للوحات</t>
        </is>
      </c>
      <c r="D120" s="5" t="inlineStr">
        <is>
          <t>SA-RPT، §6</t>
        </is>
      </c>
      <c r="E120" s="5" t="inlineStr">
        <is>
          <t>توسعة: backend/app/Services/Admin/ReportsService.php</t>
        </is>
      </c>
      <c r="F120" s="5" t="inlineStr">
        <is>
          <t>BE+FE</t>
        </is>
      </c>
      <c r="G120" s="6" t="n">
        <v>1</v>
      </c>
      <c r="H120" s="5" t="inlineStr">
        <is>
          <t>لا</t>
        </is>
      </c>
      <c r="I120" s="14" t="inlineStr">
        <is>
          <t>⬜ لم يبدأ</t>
        </is>
      </c>
      <c r="J120" s="14" t="inlineStr">
        <is>
          <t>feat/m8-super-admin</t>
        </is>
      </c>
      <c r="K120" s="14" t="inlineStr"/>
      <c r="L120" s="14" t="inlineStr"/>
    </row>
    <row r="121">
      <c r="A121" s="5" t="inlineStr">
        <is>
          <t>8.10</t>
        </is>
      </c>
      <c r="B121" s="5" t="inlineStr">
        <is>
          <t>M8</t>
        </is>
      </c>
      <c r="C121" s="5" t="inlineStr">
        <is>
          <t>صلاحيات أدمن جديدة (manage_programs، approve_utr، approve_requests، monitor_network) ضمن النظام القائم</t>
        </is>
      </c>
      <c r="D121" s="5" t="inlineStr">
        <is>
          <t>§6</t>
        </is>
      </c>
      <c r="E121" s="5" t="inlineStr">
        <is>
          <t>توسعة: backend/app/Enums/AdminPermission.php</t>
        </is>
      </c>
      <c r="F121" s="5" t="inlineStr">
        <is>
          <t>BE+FE</t>
        </is>
      </c>
      <c r="G121" s="6" t="n">
        <v>0.25</v>
      </c>
      <c r="H121" s="5" t="inlineStr">
        <is>
          <t>لا</t>
        </is>
      </c>
      <c r="I121" s="14" t="inlineStr">
        <is>
          <t>⬜ لم يبدأ</t>
        </is>
      </c>
      <c r="J121" s="14" t="inlineStr">
        <is>
          <t>feat/m8-super-admin</t>
        </is>
      </c>
      <c r="K121" s="14" t="inlineStr"/>
      <c r="L121" s="14" t="inlineStr"/>
    </row>
    <row r="122">
      <c r="A122" s="5" t="inlineStr">
        <is>
          <t>9.1</t>
        </is>
      </c>
      <c r="B122" s="5" t="inlineStr">
        <is>
          <t>M9</t>
        </is>
      </c>
      <c r="C122" s="5" t="inlineStr">
        <is>
          <t>ربط حساب SSO باسم مستخدم MikroTik والأجهزة المكتشفة + تأكيد المطابقة</t>
        </is>
      </c>
      <c r="D122" s="5" t="inlineStr">
        <is>
          <t>FR-FL-01</t>
        </is>
      </c>
      <c r="E122" s="5" t="inlineStr">
        <is>
          <t>توسعة: backend/app/Services/Auth/TaqatSsoService.php</t>
        </is>
      </c>
      <c r="F122" s="5" t="inlineStr">
        <is>
          <t>BE+FE</t>
        </is>
      </c>
      <c r="G122" s="6" t="n">
        <v>0.5</v>
      </c>
      <c r="H122" s="5" t="inlineStr">
        <is>
          <t>لا</t>
        </is>
      </c>
      <c r="I122" s="14" t="inlineStr">
        <is>
          <t>⬜ لم يبدأ</t>
        </is>
      </c>
      <c r="J122" s="14" t="inlineStr">
        <is>
          <t>feat/m9-freelancer-portal</t>
        </is>
      </c>
      <c r="K122" s="14" t="inlineStr"/>
      <c r="L122" s="14" t="inlineStr"/>
    </row>
    <row r="123">
      <c r="A123" s="5" t="inlineStr">
        <is>
          <t>9.2</t>
        </is>
      </c>
      <c r="B123" s="5" t="inlineStr">
        <is>
          <t>M9</t>
        </is>
      </c>
      <c r="C123" s="5" t="inlineStr">
        <is>
          <t>«حالتي»: الاشتراك، الحالة، تاريخ الانتهاء، المقعد، المقعد الممول إن وُجد</t>
        </is>
      </c>
      <c r="D123" s="5" t="inlineStr">
        <is>
          <t>FR-FL-02، FL-TP-STATUS</t>
        </is>
      </c>
      <c r="E123" s="5" t="inlineStr">
        <is>
          <t>توسعة: backend/app/Services/MemberDashboardService.php</t>
        </is>
      </c>
      <c r="F123" s="5" t="inlineStr">
        <is>
          <t>BE+FE</t>
        </is>
      </c>
      <c r="G123" s="6" t="n">
        <v>0.5</v>
      </c>
      <c r="H123" s="5" t="inlineStr">
        <is>
          <t>لا</t>
        </is>
      </c>
      <c r="I123" s="14" t="inlineStr">
        <is>
          <t>⬜ لم يبدأ</t>
        </is>
      </c>
      <c r="J123" s="14" t="inlineStr">
        <is>
          <t>feat/m9-freelancer-portal</t>
        </is>
      </c>
      <c r="K123" s="14" t="inlineStr"/>
      <c r="L123" s="14" t="inlineStr"/>
    </row>
    <row r="124">
      <c r="A124" s="5" t="inlineStr">
        <is>
          <t>9.3</t>
        </is>
      </c>
      <c r="B124" s="5" t="inlineStr">
        <is>
          <t>M9</t>
        </is>
      </c>
      <c r="C124" s="5" t="inlineStr">
        <is>
          <t>حضوري وساعاتي: أيام وساعات الشهر، AR%، تقويم النشاط</t>
        </is>
      </c>
      <c r="D124" s="5" t="inlineStr">
        <is>
          <t>FR-FL-02</t>
        </is>
      </c>
      <c r="E124" s="5" t="inlineStr">
        <is>
          <t>جديد</t>
        </is>
      </c>
      <c r="F124" s="5" t="inlineStr">
        <is>
          <t>BE+FE</t>
        </is>
      </c>
      <c r="G124" s="6" t="n">
        <v>1</v>
      </c>
      <c r="H124" s="5" t="inlineStr">
        <is>
          <t>لا</t>
        </is>
      </c>
      <c r="I124" s="14" t="inlineStr">
        <is>
          <t>⬜ لم يبدأ</t>
        </is>
      </c>
      <c r="J124" s="14" t="inlineStr">
        <is>
          <t>feat/m9-freelancer-portal</t>
        </is>
      </c>
      <c r="K124" s="14" t="inlineStr"/>
      <c r="L124" s="14" t="inlineStr"/>
    </row>
    <row r="125">
      <c r="A125" s="5" t="inlineStr">
        <is>
          <t>9.4</t>
        </is>
      </c>
      <c r="B125" s="5" t="inlineStr">
        <is>
          <t>M9</t>
        </is>
      </c>
      <c r="C125" s="5" t="inlineStr">
        <is>
          <t>فواتيري ورصيد المحفظة وسندات القبض + تنزيل PDF</t>
        </is>
      </c>
      <c r="D125" s="5" t="inlineStr">
        <is>
          <t>FR-FL-02</t>
        </is>
      </c>
      <c r="E125" s="5" t="inlineStr">
        <is>
          <t>توسعة: صفحة freelancer/invoices</t>
        </is>
      </c>
      <c r="F125" s="5" t="inlineStr">
        <is>
          <t>BE+FE</t>
        </is>
      </c>
      <c r="G125" s="6" t="n">
        <v>0.5</v>
      </c>
      <c r="H125" s="5" t="inlineStr">
        <is>
          <t>لا</t>
        </is>
      </c>
      <c r="I125" s="14" t="inlineStr">
        <is>
          <t>⬜ لم يبدأ</t>
        </is>
      </c>
      <c r="J125" s="14" t="inlineStr">
        <is>
          <t>feat/m9-freelancer-portal</t>
        </is>
      </c>
      <c r="K125" s="14" t="inlineStr"/>
      <c r="L125" s="14" t="inlineStr"/>
    </row>
    <row r="126">
      <c r="A126" s="5" t="inlineStr">
        <is>
          <t>9.5</t>
        </is>
      </c>
      <c r="B126" s="5" t="inlineStr">
        <is>
          <t>M9</t>
        </is>
      </c>
      <c r="C126" s="5" t="inlineStr">
        <is>
          <t>الطلبات: تجديد، تغيير خطة، حجز غرفة ← تصل للمالك للموافقة</t>
        </is>
      </c>
      <c r="D126" s="5" t="inlineStr">
        <is>
          <t>FR-FL-03</t>
        </is>
      </c>
      <c r="E126" s="5" t="inlineStr">
        <is>
          <t>توسعة: إلغاء فقط في backend/routes/api/subscriptions.php</t>
        </is>
      </c>
      <c r="F126" s="5" t="inlineStr">
        <is>
          <t>BE+FE</t>
        </is>
      </c>
      <c r="G126" s="6" t="n">
        <v>1</v>
      </c>
      <c r="H126" s="5" t="inlineStr">
        <is>
          <t>لا</t>
        </is>
      </c>
      <c r="I126" s="14" t="inlineStr">
        <is>
          <t>⬜ لم يبدأ</t>
        </is>
      </c>
      <c r="J126" s="14" t="inlineStr">
        <is>
          <t>feat/m9-freelancer-portal</t>
        </is>
      </c>
      <c r="K126" s="14" t="inlineStr"/>
      <c r="L126" s="14" t="inlineStr"/>
    </row>
    <row r="127">
      <c r="A127" s="5" t="inlineStr">
        <is>
          <t>9.6</t>
        </is>
      </c>
      <c r="B127" s="5" t="inlineStr">
        <is>
          <t>M9</t>
        </is>
      </c>
      <c r="C127" s="5" t="inlineStr">
        <is>
          <t>الاعتراض على ساعات أو رسوم (طلب بسبب ومرفق، يرد عليه المالك)</t>
        </is>
      </c>
      <c r="D127" s="5" t="inlineStr">
        <is>
          <t>FR-FL-04</t>
        </is>
      </c>
      <c r="E127" s="5" t="inlineStr">
        <is>
          <t>جديد</t>
        </is>
      </c>
      <c r="F127" s="5" t="inlineStr">
        <is>
          <t>BE+FE</t>
        </is>
      </c>
      <c r="G127" s="6" t="n">
        <v>0.75</v>
      </c>
      <c r="H127" s="5" t="inlineStr">
        <is>
          <t>نعم</t>
        </is>
      </c>
      <c r="I127" s="14" t="inlineStr">
        <is>
          <t>⬜ لم يبدأ</t>
        </is>
      </c>
      <c r="J127" s="14" t="inlineStr">
        <is>
          <t>feat/m9-freelancer-portal</t>
        </is>
      </c>
      <c r="K127" s="14" t="inlineStr"/>
      <c r="L127" s="14" t="inlineStr"/>
    </row>
    <row r="128">
      <c r="A128" s="5" t="inlineStr">
        <is>
          <t>9.7</t>
        </is>
      </c>
      <c r="B128" s="5" t="inlineStr">
        <is>
          <t>M9</t>
        </is>
      </c>
      <c r="C128" s="5" t="inlineStr">
        <is>
          <t>أجهزتي: الأجهزة المرتبطة، تسمية، طلب إزالة</t>
        </is>
      </c>
      <c r="D128" s="5" t="inlineStr">
        <is>
          <t>FR-FL-05</t>
        </is>
      </c>
      <c r="E128" s="5" t="inlineStr">
        <is>
          <t>جديد</t>
        </is>
      </c>
      <c r="F128" s="5" t="inlineStr">
        <is>
          <t>BE+FE</t>
        </is>
      </c>
      <c r="G128" s="6" t="n">
        <v>0.5</v>
      </c>
      <c r="H128" s="5" t="inlineStr">
        <is>
          <t>لا</t>
        </is>
      </c>
      <c r="I128" s="14" t="inlineStr">
        <is>
          <t>⬜ لم يبدأ</t>
        </is>
      </c>
      <c r="J128" s="14" t="inlineStr">
        <is>
          <t>feat/m9-freelancer-portal</t>
        </is>
      </c>
      <c r="K128" s="14" t="inlineStr"/>
      <c r="L128" s="14" t="inlineStr"/>
    </row>
    <row r="129">
      <c r="A129" s="5" t="inlineStr">
        <is>
          <t>9.8</t>
        </is>
      </c>
      <c r="B129" s="5" t="inlineStr">
        <is>
          <t>M9</t>
        </is>
      </c>
      <c r="C129" s="5" t="inlineStr">
        <is>
          <t>ملفي: معالج استكمال حقول المانح (التعليم، التخصص، الحالة الوظيفية)</t>
        </is>
      </c>
      <c r="D129" s="5" t="inlineStr">
        <is>
          <t>FR-MEM-06</t>
        </is>
      </c>
      <c r="E129" s="5" t="inlineStr">
        <is>
          <t>توسعة: صفحة freelancer/profile</t>
        </is>
      </c>
      <c r="F129" s="5" t="inlineStr">
        <is>
          <t>FE</t>
        </is>
      </c>
      <c r="G129" s="6" t="n">
        <v>0.25</v>
      </c>
      <c r="H129" s="5" t="inlineStr">
        <is>
          <t>لا</t>
        </is>
      </c>
      <c r="I129" s="14" t="inlineStr">
        <is>
          <t>⬜ لم يبدأ</t>
        </is>
      </c>
      <c r="J129" s="14" t="inlineStr">
        <is>
          <t>feat/m9-freelancer-portal</t>
        </is>
      </c>
      <c r="K129" s="14" t="inlineStr"/>
      <c r="L129" s="14" t="inlineStr"/>
    </row>
    <row r="130">
      <c r="A130" s="5" t="inlineStr">
        <is>
          <t>9.9</t>
        </is>
      </c>
      <c r="B130" s="5" t="inlineStr">
        <is>
          <t>M9</t>
        </is>
      </c>
      <c r="C130" s="5" t="inlineStr">
        <is>
          <t>إشعارات جديدة: عقد ينتهي (14 يومًا)، فاتورة صادرة، موافقة/رفض طلب، رد اعتراض، تنبيه ساعات</t>
        </is>
      </c>
      <c r="D130" s="5" t="inlineStr">
        <is>
          <t>—</t>
        </is>
      </c>
      <c r="E130" s="5" t="inlineStr">
        <is>
          <t>توسعة: backend/app/Notifications/</t>
        </is>
      </c>
      <c r="F130" s="5" t="inlineStr">
        <is>
          <t>BE</t>
        </is>
      </c>
      <c r="G130" s="6" t="n">
        <v>0.5</v>
      </c>
      <c r="H130" s="5" t="inlineStr">
        <is>
          <t>لا</t>
        </is>
      </c>
      <c r="I130" s="14" t="inlineStr">
        <is>
          <t>⬜ لم يبدأ</t>
        </is>
      </c>
      <c r="J130" s="14" t="inlineStr">
        <is>
          <t>feat/m9-freelancer-portal</t>
        </is>
      </c>
      <c r="K130" s="14" t="inlineStr"/>
      <c r="L130" s="14" t="inlineStr"/>
    </row>
    <row r="131">
      <c r="A131" s="5" t="inlineStr">
        <is>
          <t>9.10</t>
        </is>
      </c>
      <c r="B131" s="5" t="inlineStr">
        <is>
          <t>M9</t>
        </is>
      </c>
      <c r="C131" s="5" t="inlineStr">
        <is>
          <t>POS الفريلانسر يقرأ من الكتالوج الموحد + خيار «أضف إلى حسابي»</t>
        </is>
      </c>
      <c r="D131" s="5" t="inlineStr">
        <is>
          <t>FL-TP-POS</t>
        </is>
      </c>
      <c r="E131" s="5" t="inlineStr">
        <is>
          <t>موجود: صفحة freelancer/pos</t>
        </is>
      </c>
      <c r="F131" s="5" t="inlineStr">
        <is>
          <t>BE+FE</t>
        </is>
      </c>
      <c r="G131" s="6" t="n">
        <v>0.5</v>
      </c>
      <c r="H131" s="5" t="inlineStr">
        <is>
          <t>لا</t>
        </is>
      </c>
      <c r="I131" s="14" t="inlineStr">
        <is>
          <t>⬜ لم يبدأ</t>
        </is>
      </c>
      <c r="J131" s="14" t="inlineStr">
        <is>
          <t>feat/m9-freelancer-portal</t>
        </is>
      </c>
      <c r="K131" s="14" t="inlineStr"/>
      <c r="L131" s="14" t="inlineStr"/>
    </row>
    <row r="132">
      <c r="A132" s="5" t="inlineStr">
        <is>
          <t>10.1</t>
        </is>
      </c>
      <c r="B132" s="5" t="inlineStr">
        <is>
          <t>M10</t>
        </is>
      </c>
      <c r="C132" s="5" t="inlineStr">
        <is>
          <t>الموقع العام /s/{slug} (عربي/إنجليزي) يعمل دون منشئ الموقع بأقسام صفحة المساحة الحالية، مع تحويل منها</t>
        </is>
      </c>
      <c r="D132" s="5" t="inlineStr">
        <is>
          <t>§2.1</t>
        </is>
      </c>
      <c r="E132" s="5" t="inlineStr">
        <is>
          <t>توسعة: صفحة (public)/workspaces/[id]</t>
        </is>
      </c>
      <c r="F132" s="5" t="inlineStr">
        <is>
          <t>BE+FE</t>
        </is>
      </c>
      <c r="G132" s="6" t="n">
        <v>0.75</v>
      </c>
      <c r="H132" s="5" t="inlineStr">
        <is>
          <t>لا</t>
        </is>
      </c>
      <c r="I132" s="14" t="inlineStr">
        <is>
          <t>⬜ لم يبدأ</t>
        </is>
      </c>
      <c r="J132" s="14" t="inlineStr">
        <is>
          <t>feat/m10-public-site</t>
        </is>
      </c>
      <c r="K132" s="14" t="inlineStr"/>
      <c r="L132" s="14" t="inlineStr"/>
    </row>
    <row r="133">
      <c r="A133" s="5" t="inlineStr">
        <is>
          <t>10.2</t>
        </is>
      </c>
      <c r="B133" s="5" t="inlineStr">
        <is>
          <t>M10</t>
        </is>
      </c>
      <c r="C133" s="5" t="inlineStr">
        <is>
          <t>منشئ الموقع: 14 قسمًا قابلة للترتيب والتفعيل لكل مساحة (على نمط Landing CMS)</t>
        </is>
      </c>
      <c r="D133" s="5" t="inlineStr">
        <is>
          <t>ملحق أ §أ.5</t>
        </is>
      </c>
      <c r="E133" s="5" t="inlineStr">
        <is>
          <t>توسعة: frontend/src/components/features/admin/LandingEditor.tsx</t>
        </is>
      </c>
      <c r="F133" s="5" t="inlineStr">
        <is>
          <t>BE+FE</t>
        </is>
      </c>
      <c r="G133" s="6" t="n">
        <v>1.5</v>
      </c>
      <c r="H133" s="5" t="inlineStr">
        <is>
          <t>نعم</t>
        </is>
      </c>
      <c r="I133" s="14" t="inlineStr">
        <is>
          <t>⬜ لم يبدأ</t>
        </is>
      </c>
      <c r="J133" s="14" t="inlineStr">
        <is>
          <t>feat/m10-public-site</t>
        </is>
      </c>
      <c r="K133" s="14" t="inlineStr"/>
      <c r="L133" s="14" t="inlineStr"/>
    </row>
    <row r="134">
      <c r="A134" s="5" t="inlineStr">
        <is>
          <t>10.3</t>
        </is>
      </c>
      <c r="B134" s="5" t="inlineStr">
        <is>
          <t>M10</t>
        </is>
      </c>
      <c r="C134" s="5" t="inlineStr">
        <is>
          <t>نموذج طلب الاشتراك بلا حساب ← «طلبات الاشتراك»</t>
        </is>
      </c>
      <c r="D134" s="5" t="inlineStr">
        <is>
          <t>FR-REQ-01، FL-TP-FORMS</t>
        </is>
      </c>
      <c r="E134" s="5" t="inlineStr">
        <is>
          <t>توسعة: طلب الحجز الحالي يتطلب دخولًا</t>
        </is>
      </c>
      <c r="F134" s="5" t="inlineStr">
        <is>
          <t>BE+FE</t>
        </is>
      </c>
      <c r="G134" s="6" t="n">
        <v>0.5</v>
      </c>
      <c r="H134" s="5" t="inlineStr">
        <is>
          <t>لا</t>
        </is>
      </c>
      <c r="I134" s="14" t="inlineStr">
        <is>
          <t>⬜ لم يبدأ</t>
        </is>
      </c>
      <c r="J134" s="14" t="inlineStr">
        <is>
          <t>feat/m10-public-site</t>
        </is>
      </c>
      <c r="K134" s="14" t="inlineStr"/>
      <c r="L134" s="14" t="inlineStr"/>
    </row>
    <row r="135">
      <c r="A135" s="5" t="inlineStr">
        <is>
          <t>10.4</t>
        </is>
      </c>
      <c r="B135" s="5" t="inlineStr">
        <is>
          <t>M10</t>
        </is>
      </c>
      <c r="C135" s="5" t="inlineStr">
        <is>
          <t>نموذج حجز الغرف بحدود المدة والحجز المسبق ← «حجوزات الغرف»</t>
        </is>
      </c>
      <c r="D135" s="5" t="inlineStr">
        <is>
          <t>FR-RMB-01، FL-TP-FORMS</t>
        </is>
      </c>
      <c r="E135" s="5" t="inlineStr">
        <is>
          <t>جديد</t>
        </is>
      </c>
      <c r="F135" s="5" t="inlineStr">
        <is>
          <t>BE+FE</t>
        </is>
      </c>
      <c r="G135" s="6" t="n">
        <v>0.5</v>
      </c>
      <c r="H135" s="5" t="inlineStr">
        <is>
          <t>لا</t>
        </is>
      </c>
      <c r="I135" s="14" t="inlineStr">
        <is>
          <t>⬜ لم يبدأ</t>
        </is>
      </c>
      <c r="J135" s="14" t="inlineStr">
        <is>
          <t>feat/m10-public-site</t>
        </is>
      </c>
      <c r="K135" s="14" t="inlineStr"/>
      <c r="L135" s="14" t="inlineStr"/>
    </row>
    <row r="136">
      <c r="A136" s="5" t="inlineStr">
        <is>
          <t>10.5</t>
        </is>
      </c>
      <c r="B136" s="5" t="inlineStr">
        <is>
          <t>M10</t>
        </is>
      </c>
      <c r="C136" s="5" t="inlineStr">
        <is>
          <t>«صفحة حالتي» على الموقع العام (تفعيل من الإعدادات، وتُدمج في منشئ الموقع عند بنائه)</t>
        </is>
      </c>
      <c r="D136" s="5" t="inlineStr">
        <is>
          <t>FL-TP-STATUS</t>
        </is>
      </c>
      <c r="E136" s="5" t="inlineStr">
        <is>
          <t>جديد</t>
        </is>
      </c>
      <c r="F136" s="5" t="inlineStr">
        <is>
          <t>FE</t>
        </is>
      </c>
      <c r="G136" s="6" t="n">
        <v>0.25</v>
      </c>
      <c r="H136" s="5" t="inlineStr">
        <is>
          <t>لا</t>
        </is>
      </c>
      <c r="I136" s="14" t="inlineStr">
        <is>
          <t>⬜ لم يبدأ</t>
        </is>
      </c>
      <c r="J136" s="14" t="inlineStr">
        <is>
          <t>feat/m10-public-site</t>
        </is>
      </c>
      <c r="K136" s="14" t="inlineStr"/>
      <c r="L136" s="14" t="inlineStr"/>
    </row>
    <row r="137">
      <c r="A137" s="5" t="inlineStr">
        <is>
          <t>10.6</t>
        </is>
      </c>
      <c r="B137" s="5" t="inlineStr">
        <is>
          <t>M10</t>
        </is>
      </c>
      <c r="C137" s="5" t="inlineStr">
        <is>
          <t>تسجيل الضيف الذاتي /hotspot/{code}/register من صفحة دخول الهوتسبوت: اسم مستخدم بالهاتف أو مولّد، ملف visitor وshared-users=1، Walled Garden، الحساب جاهز خلال دقيقة</t>
        </is>
      </c>
      <c r="D137" s="5" t="inlineStr">
        <is>
          <t>FL-TP-GUEST</t>
        </is>
      </c>
      <c r="E137" s="5" t="inlineStr">
        <is>
          <t>جديد</t>
        </is>
      </c>
      <c r="F137" s="5" t="inlineStr">
        <is>
          <t>BE+FE</t>
        </is>
      </c>
      <c r="G137" s="6" t="n">
        <v>1.25</v>
      </c>
      <c r="H137" s="5" t="inlineStr">
        <is>
          <t>لا</t>
        </is>
      </c>
      <c r="I137" s="14" t="inlineStr">
        <is>
          <t>⬜ لم يبدأ</t>
        </is>
      </c>
      <c r="J137" s="14" t="inlineStr">
        <is>
          <t>feat/m10-public-site</t>
        </is>
      </c>
      <c r="K137" s="14" t="inlineStr"/>
      <c r="L137" s="14" t="inlineStr"/>
    </row>
    <row r="138">
      <c r="A138" s="5" t="inlineStr">
        <is>
          <t>10.7</t>
        </is>
      </c>
      <c r="B138" s="5" t="inlineStr">
        <is>
          <t>M10</t>
        </is>
      </c>
      <c r="C138" s="5" t="inlineStr">
        <is>
          <t>النطاق المخصص: طلب ← موافقة السوبر أدمن ← تفعيل DNS/SSL</t>
        </is>
      </c>
      <c r="D138" s="5" t="inlineStr">
        <is>
          <t>SET-DNS</t>
        </is>
      </c>
      <c r="E138" s="5" t="inlineStr">
        <is>
          <t>جديد</t>
        </is>
      </c>
      <c r="F138" s="5" t="inlineStr">
        <is>
          <t>BE+Ops</t>
        </is>
      </c>
      <c r="G138" s="6" t="n">
        <v>0.5</v>
      </c>
      <c r="H138" s="5" t="inlineStr">
        <is>
          <t>نعم</t>
        </is>
      </c>
      <c r="I138" s="14" t="inlineStr">
        <is>
          <t>⬜ لم يبدأ</t>
        </is>
      </c>
      <c r="J138" s="14" t="inlineStr">
        <is>
          <t>feat/m10-public-site</t>
        </is>
      </c>
      <c r="K138" s="14" t="inlineStr"/>
      <c r="L138" s="14" t="inlineStr"/>
    </row>
    <row r="139">
      <c r="A139" s="5" t="inlineStr">
        <is>
          <t>10.8</t>
        </is>
      </c>
      <c r="B139" s="5" t="inlineStr">
        <is>
          <t>M10</t>
        </is>
      </c>
      <c r="C139" s="5" t="inlineStr">
        <is>
          <t>الاكتشاف والسوق الحاليان: إبقاء الاستكشاف والمراجعات والإعلانات وربطها بالـ slug والخطط الجديدة</t>
        </is>
      </c>
      <c r="D139" s="5" t="inlineStr">
        <is>
          <t>—</t>
        </is>
      </c>
      <c r="E139" s="5" t="inlineStr">
        <is>
          <t>موجود: صفحة (public)/explore</t>
        </is>
      </c>
      <c r="F139" s="5" t="inlineStr">
        <is>
          <t>FE</t>
        </is>
      </c>
      <c r="G139" s="6" t="n">
        <v>0.25</v>
      </c>
      <c r="H139" s="5" t="inlineStr">
        <is>
          <t>لا</t>
        </is>
      </c>
      <c r="I139" s="14" t="inlineStr">
        <is>
          <t>⬜ لم يبدأ</t>
        </is>
      </c>
      <c r="J139" s="14" t="inlineStr">
        <is>
          <t>feat/m10-public-site</t>
        </is>
      </c>
      <c r="K139" s="14" t="inlineStr"/>
      <c r="L139" s="14" t="inlineStr"/>
    </row>
    <row r="140">
      <c r="A140" s="5" t="inlineStr">
        <is>
          <t>11.1</t>
        </is>
      </c>
      <c r="B140" s="5" t="inlineStr">
        <is>
          <t>M11</t>
        </is>
      </c>
      <c r="C140" s="5" t="inlineStr">
        <is>
          <t>دورة UR الشهرية: فريلانسر يتصل ← ترجيح ← إقفال ← تبرير ← اعتماد ← UR رسمي ← تقرير GSG</t>
        </is>
      </c>
      <c r="D140" s="5" t="inlineStr">
        <is>
          <t>FLOW-UR</t>
        </is>
      </c>
      <c r="E140" s="5" t="inlineStr">
        <is>
          <t>جديد</t>
        </is>
      </c>
      <c r="F140" s="5" t="inlineStr">
        <is>
          <t>QA</t>
        </is>
      </c>
      <c r="G140" s="6" t="n">
        <v>1</v>
      </c>
      <c r="H140" s="5" t="inlineStr">
        <is>
          <t>لا</t>
        </is>
      </c>
      <c r="I140" s="14" t="inlineStr">
        <is>
          <t>⬜ لم يبدأ</t>
        </is>
      </c>
      <c r="J140" s="14" t="inlineStr">
        <is>
          <t>test/m11-e2e</t>
        </is>
      </c>
      <c r="K140" s="14" t="inlineStr"/>
      <c r="L140" s="14" t="inlineStr"/>
    </row>
    <row r="141">
      <c r="A141" s="5" t="inlineStr">
        <is>
          <t>11.2</t>
        </is>
      </c>
      <c r="B141" s="5" t="inlineStr">
        <is>
          <t>M11</t>
        </is>
      </c>
      <c r="C141" s="5" t="inlineStr">
        <is>
          <t>دورة المطالبة: سجل الحوكمة ← مطالبة مجمّدة ← استلام وصرف</t>
        </is>
      </c>
      <c r="D141" s="5" t="inlineStr">
        <is>
          <t>FR-PRG-02</t>
        </is>
      </c>
      <c r="E141" s="5" t="inlineStr">
        <is>
          <t>جديد</t>
        </is>
      </c>
      <c r="F141" s="5" t="inlineStr">
        <is>
          <t>QA</t>
        </is>
      </c>
      <c r="G141" s="6" t="n">
        <v>0.25</v>
      </c>
      <c r="H141" s="5" t="inlineStr">
        <is>
          <t>لا</t>
        </is>
      </c>
      <c r="I141" s="14" t="inlineStr">
        <is>
          <t>⬜ لم يبدأ</t>
        </is>
      </c>
      <c r="J141" s="14" t="inlineStr">
        <is>
          <t>test/m11-e2e</t>
        </is>
      </c>
      <c r="K141" s="14" t="inlineStr"/>
      <c r="L141" s="14" t="inlineStr"/>
    </row>
    <row r="142">
      <c r="A142" s="5" t="inlineStr">
        <is>
          <t>11.3</t>
        </is>
      </c>
      <c r="B142" s="5" t="inlineStr">
        <is>
          <t>M11</t>
        </is>
      </c>
      <c r="C142" s="5" t="inlineStr">
        <is>
          <t>من طلب إلى مشترك: موقع عام ← موافقة ← عقد + خطة ← بوابة الفريلانسر</t>
        </is>
      </c>
      <c r="D142" s="5" t="inlineStr">
        <is>
          <t>FLOW-1</t>
        </is>
      </c>
      <c r="E142" s="5" t="inlineStr">
        <is>
          <t>جديد</t>
        </is>
      </c>
      <c r="F142" s="5" t="inlineStr">
        <is>
          <t>QA</t>
        </is>
      </c>
      <c r="G142" s="6" t="n">
        <v>0.5</v>
      </c>
      <c r="H142" s="5" t="inlineStr">
        <is>
          <t>لا</t>
        </is>
      </c>
      <c r="I142" s="14" t="inlineStr">
        <is>
          <t>⬜ لم يبدأ</t>
        </is>
      </c>
      <c r="J142" s="14" t="inlineStr">
        <is>
          <t>test/m11-e2e</t>
        </is>
      </c>
      <c r="K142" s="14" t="inlineStr"/>
      <c r="L142" s="14" t="inlineStr"/>
    </row>
    <row r="143">
      <c r="A143" s="5" t="inlineStr">
        <is>
          <t>11.4</t>
        </is>
      </c>
      <c r="B143" s="5" t="inlineStr">
        <is>
          <t>M11</t>
        </is>
      </c>
      <c r="C143" s="5" t="inlineStr">
        <is>
          <t>تحويل زائر مباشر: جهاز بلا اشتراك ← «زوار مباشرون» ← «اشترك» ← فوترة</t>
        </is>
      </c>
      <c r="D143" s="5" t="inlineStr">
        <is>
          <t>FLOW-2</t>
        </is>
      </c>
      <c r="E143" s="5" t="inlineStr">
        <is>
          <t>جديد</t>
        </is>
      </c>
      <c r="F143" s="5" t="inlineStr">
        <is>
          <t>QA</t>
        </is>
      </c>
      <c r="G143" s="6" t="n">
        <v>0.25</v>
      </c>
      <c r="H143" s="5" t="inlineStr">
        <is>
          <t>لا</t>
        </is>
      </c>
      <c r="I143" s="14" t="inlineStr">
        <is>
          <t>⬜ لم يبدأ</t>
        </is>
      </c>
      <c r="J143" s="14" t="inlineStr">
        <is>
          <t>test/m11-e2e</t>
        </is>
      </c>
      <c r="K143" s="14" t="inlineStr"/>
      <c r="L143" s="14" t="inlineStr"/>
    </row>
    <row r="144">
      <c r="A144" s="5" t="inlineStr">
        <is>
          <t>11.5</t>
        </is>
      </c>
      <c r="B144" s="5" t="inlineStr">
        <is>
          <t>M11</t>
        </is>
      </c>
      <c r="C144" s="5" t="inlineStr">
        <is>
          <t>دورة الفوترة: حركات POS ← فاتورة ← يراها الفريلانسر ← دفعة ← رصيد</t>
        </is>
      </c>
      <c r="D144" s="5" t="inlineStr">
        <is>
          <t>FLOW-3</t>
        </is>
      </c>
      <c r="E144" s="5" t="inlineStr">
        <is>
          <t>جديد</t>
        </is>
      </c>
      <c r="F144" s="5" t="inlineStr">
        <is>
          <t>QA</t>
        </is>
      </c>
      <c r="G144" s="6" t="n">
        <v>0.5</v>
      </c>
      <c r="H144" s="5" t="inlineStr">
        <is>
          <t>لا</t>
        </is>
      </c>
      <c r="I144" s="14" t="inlineStr">
        <is>
          <t>⬜ لم يبدأ</t>
        </is>
      </c>
      <c r="J144" s="14" t="inlineStr">
        <is>
          <t>test/m11-e2e</t>
        </is>
      </c>
      <c r="K144" s="14" t="inlineStr"/>
      <c r="L144" s="14" t="inlineStr"/>
    </row>
    <row r="145">
      <c r="A145" s="5" t="inlineStr">
        <is>
          <t>11.6</t>
        </is>
      </c>
      <c r="B145" s="5" t="inlineStr">
        <is>
          <t>M11</t>
        </is>
      </c>
      <c r="C145" s="5" t="inlineStr">
        <is>
          <t>دورة العقد: مسودة ← نشط ← معلق ← نشط ← منتهٍ + تجديد فردي وجماعي</t>
        </is>
      </c>
      <c r="D145" s="5" t="inlineStr">
        <is>
          <t>FLOW-4</t>
        </is>
      </c>
      <c r="E145" s="5" t="inlineStr">
        <is>
          <t>جديد</t>
        </is>
      </c>
      <c r="F145" s="5" t="inlineStr">
        <is>
          <t>QA</t>
        </is>
      </c>
      <c r="G145" s="6" t="n">
        <v>0.25</v>
      </c>
      <c r="H145" s="5" t="inlineStr">
        <is>
          <t>لا</t>
        </is>
      </c>
      <c r="I145" s="14" t="inlineStr">
        <is>
          <t>⬜ لم يبدأ</t>
        </is>
      </c>
      <c r="J145" s="14" t="inlineStr">
        <is>
          <t>test/m11-e2e</t>
        </is>
      </c>
      <c r="K145" s="14" t="inlineStr"/>
      <c r="L145" s="14" t="inlineStr"/>
    </row>
    <row r="146">
      <c r="A146" s="5" t="inlineStr">
        <is>
          <t>11.7</t>
        </is>
      </c>
      <c r="B146" s="5" t="inlineStr">
        <is>
          <t>M11</t>
        </is>
      </c>
      <c r="C146" s="5" t="inlineStr">
        <is>
          <t>تغيير المعلمات: طلب ← موافقة ← إعادة حساب Tmax وUR</t>
        </is>
      </c>
      <c r="D146" s="5" t="inlineStr">
        <is>
          <t>FLOW-5</t>
        </is>
      </c>
      <c r="E146" s="5" t="inlineStr">
        <is>
          <t>جديد</t>
        </is>
      </c>
      <c r="F146" s="5" t="inlineStr">
        <is>
          <t>QA</t>
        </is>
      </c>
      <c r="G146" s="6" t="n">
        <v>0.25</v>
      </c>
      <c r="H146" s="5" t="inlineStr">
        <is>
          <t>لا</t>
        </is>
      </c>
      <c r="I146" s="14" t="inlineStr">
        <is>
          <t>⬜ لم يبدأ</t>
        </is>
      </c>
      <c r="J146" s="14" t="inlineStr">
        <is>
          <t>test/m11-e2e</t>
        </is>
      </c>
      <c r="K146" s="14" t="inlineStr"/>
      <c r="L146" s="14" t="inlineStr"/>
    </row>
    <row r="147">
      <c r="A147" s="5" t="inlineStr">
        <is>
          <t>11.8</t>
        </is>
      </c>
      <c r="B147" s="5" t="inlineStr">
        <is>
          <t>M11</t>
        </is>
      </c>
      <c r="C147" s="5" t="inlineStr">
        <is>
          <t>إسناد مقعد ممول: السوبر أدمن ← لوحة المقاعد ← لايف ← تقرير البرنامج ← «حالتي»</t>
        </is>
      </c>
      <c r="D147" s="5" t="inlineStr">
        <is>
          <t>FR-PRG-05</t>
        </is>
      </c>
      <c r="E147" s="5" t="inlineStr">
        <is>
          <t>جديد</t>
        </is>
      </c>
      <c r="F147" s="5" t="inlineStr">
        <is>
          <t>QA</t>
        </is>
      </c>
      <c r="G147" s="6" t="n">
        <v>0.25</v>
      </c>
      <c r="H147" s="5" t="inlineStr">
        <is>
          <t>لا</t>
        </is>
      </c>
      <c r="I147" s="14" t="inlineStr">
        <is>
          <t>⬜ لم يبدأ</t>
        </is>
      </c>
      <c r="J147" s="14" t="inlineStr">
        <is>
          <t>test/m11-e2e</t>
        </is>
      </c>
      <c r="K147" s="14" t="inlineStr"/>
      <c r="L147" s="14" t="inlineStr"/>
    </row>
    <row r="148">
      <c r="A148" s="5" t="inlineStr">
        <is>
          <t>11.9</t>
        </is>
      </c>
      <c r="B148" s="5" t="inlineStr">
        <is>
          <t>M11</t>
        </is>
      </c>
      <c r="C148" s="5" t="inlineStr">
        <is>
          <t>أتمتة التدفقات بـ Playwright على staging مع راوتر CHR</t>
        </is>
      </c>
      <c r="D148" s="5" t="inlineStr">
        <is>
          <t>—</t>
        </is>
      </c>
      <c r="E148" s="5" t="inlineStr">
        <is>
          <t>توسعة: frontend/tests-e2e/smoke.spec.ts (اختبار واحد)</t>
        </is>
      </c>
      <c r="F148" s="5" t="inlineStr">
        <is>
          <t>QA</t>
        </is>
      </c>
      <c r="G148" s="6" t="n">
        <v>1</v>
      </c>
      <c r="H148" s="5" t="inlineStr">
        <is>
          <t>لا</t>
        </is>
      </c>
      <c r="I148" s="14" t="inlineStr">
        <is>
          <t>⬜ لم يبدأ</t>
        </is>
      </c>
      <c r="J148" s="14" t="inlineStr">
        <is>
          <t>test/m11-e2e</t>
        </is>
      </c>
      <c r="K148" s="14" t="inlineStr"/>
      <c r="L148" s="14" t="inlineStr"/>
    </row>
    <row r="149">
      <c r="A149" s="5" t="inlineStr">
        <is>
          <t>11.10</t>
        </is>
      </c>
      <c r="B149" s="5" t="inlineStr">
        <is>
          <t>M11</t>
        </is>
      </c>
      <c r="C149" s="5" t="inlineStr">
        <is>
          <t>اختبارات انحدار للوحدات القائمة: الاكتشاف، الحجز، الدردشة، CMS، API الشريك (Academy)، الإشعارات، POS</t>
        </is>
      </c>
      <c r="D149" s="5" t="inlineStr">
        <is>
          <t>—</t>
        </is>
      </c>
      <c r="E149" s="5" t="inlineStr">
        <is>
          <t>موجود: ≈607 اختبار Feature</t>
        </is>
      </c>
      <c r="F149" s="5" t="inlineStr">
        <is>
          <t>QA</t>
        </is>
      </c>
      <c r="G149" s="6" t="n">
        <v>0.75</v>
      </c>
      <c r="H149" s="5" t="inlineStr">
        <is>
          <t>لا</t>
        </is>
      </c>
      <c r="I149" s="14" t="inlineStr">
        <is>
          <t>⬜ لم يبدأ</t>
        </is>
      </c>
      <c r="J149" s="14" t="inlineStr">
        <is>
          <t>test/m11-e2e</t>
        </is>
      </c>
      <c r="K149" s="14" t="inlineStr"/>
      <c r="L149" s="14" t="inlineStr"/>
    </row>
    <row r="150">
      <c r="A150" s="5" t="inlineStr">
        <is>
          <t>12.1</t>
        </is>
      </c>
      <c r="B150" s="5" t="inlineStr">
        <is>
          <t>M12</t>
        </is>
      </c>
      <c r="C150" s="5" t="inlineStr">
        <is>
          <t>مخزن احتياطي على flash لأحداث ما قبل إعادة التشغيل + خيار لقطة كل 10 دقائق في الدوام</t>
        </is>
      </c>
      <c r="D150" s="5" t="inlineStr">
        <is>
          <t>ملحق ب §ب.5، R3</t>
        </is>
      </c>
      <c r="E150" s="5" t="inlineStr">
        <is>
          <t>جديد</t>
        </is>
      </c>
      <c r="F150" s="5" t="inlineStr">
        <is>
          <t>BE</t>
        </is>
      </c>
      <c r="G150" s="6" t="n">
        <v>0.75</v>
      </c>
      <c r="H150" s="5" t="inlineStr">
        <is>
          <t>لا</t>
        </is>
      </c>
      <c r="I150" s="14" t="inlineStr">
        <is>
          <t>⬜ لم يبدأ</t>
        </is>
      </c>
      <c r="J150" s="14" t="inlineStr">
        <is>
          <t>chore/m12-hardening</t>
        </is>
      </c>
      <c r="K150" s="14" t="inlineStr"/>
      <c r="L150" s="14" t="inlineStr"/>
    </row>
    <row r="151">
      <c r="A151" s="5" t="inlineStr">
        <is>
          <t>12.2</t>
        </is>
      </c>
      <c r="B151" s="5" t="inlineStr">
        <is>
          <t>M12</t>
        </is>
      </c>
      <c r="C151" s="5" t="inlineStr">
        <is>
          <t>تصحيح WAN IP في اللقطة وفصل «التبادل 50 ث» عن «اللقطة 30 د» في الواجهة</t>
        </is>
      </c>
      <c r="D151" s="5" t="inlineStr">
        <is>
          <t>ملحق ب §ب.5</t>
        </is>
      </c>
      <c r="E151" s="5" t="inlineStr">
        <is>
          <t>جديد</t>
        </is>
      </c>
      <c r="F151" s="5" t="inlineStr">
        <is>
          <t>BE+FE</t>
        </is>
      </c>
      <c r="G151" s="6" t="n">
        <v>0.25</v>
      </c>
      <c r="H151" s="5" t="inlineStr">
        <is>
          <t>لا</t>
        </is>
      </c>
      <c r="I151" s="14" t="inlineStr">
        <is>
          <t>⬜ لم يبدأ</t>
        </is>
      </c>
      <c r="J151" s="14" t="inlineStr">
        <is>
          <t>chore/m12-hardening</t>
        </is>
      </c>
      <c r="K151" s="14" t="inlineStr"/>
      <c r="L151" s="14" t="inlineStr"/>
    </row>
    <row r="152">
      <c r="A152" s="5" t="inlineStr">
        <is>
          <t>12.3</t>
        </is>
      </c>
      <c r="B152" s="5" t="inlineStr">
        <is>
          <t>M12</t>
        </is>
      </c>
      <c r="C152" s="5" t="inlineStr">
        <is>
          <t>اختبار حمل k6: 2,048 جلسة، 50 مساحة متزامنة، اندفاع عودة الكهرباء، /sync ≤ 300ms</t>
        </is>
      </c>
      <c r="D152" s="5" t="inlineStr">
        <is>
          <t>NFR-PERF</t>
        </is>
      </c>
      <c r="E152" s="5" t="inlineStr">
        <is>
          <t>جديد</t>
        </is>
      </c>
      <c r="F152" s="5" t="inlineStr">
        <is>
          <t>QA</t>
        </is>
      </c>
      <c r="G152" s="6" t="n">
        <v>1</v>
      </c>
      <c r="H152" s="5" t="inlineStr">
        <is>
          <t>لا</t>
        </is>
      </c>
      <c r="I152" s="14" t="inlineStr">
        <is>
          <t>⬜ لم يبدأ</t>
        </is>
      </c>
      <c r="J152" s="14" t="inlineStr">
        <is>
          <t>chore/m12-hardening</t>
        </is>
      </c>
      <c r="K152" s="14" t="inlineStr"/>
      <c r="L152" s="14" t="inlineStr"/>
    </row>
    <row r="153">
      <c r="A153" s="5" t="inlineStr">
        <is>
          <t>12.4</t>
        </is>
      </c>
      <c r="B153" s="5" t="inlineStr">
        <is>
          <t>M12</t>
        </is>
      </c>
      <c r="C153" s="5" t="inlineStr">
        <is>
          <t>اختبار اختراق أساسي للـ API وصلاحيات الأدوار + مراجعة أمنية للكود</t>
        </is>
      </c>
      <c r="D153" s="5" t="inlineStr">
        <is>
          <t>NFR-SEC</t>
        </is>
      </c>
      <c r="E153" s="5" t="inlineStr">
        <is>
          <t>جديد</t>
        </is>
      </c>
      <c r="F153" s="5" t="inlineStr">
        <is>
          <t>QA</t>
        </is>
      </c>
      <c r="G153" s="6" t="n">
        <v>1</v>
      </c>
      <c r="H153" s="5" t="inlineStr">
        <is>
          <t>لا</t>
        </is>
      </c>
      <c r="I153" s="14" t="inlineStr">
        <is>
          <t>⬜ لم يبدأ</t>
        </is>
      </c>
      <c r="J153" s="14" t="inlineStr">
        <is>
          <t>chore/m12-hardening</t>
        </is>
      </c>
      <c r="K153" s="14" t="inlineStr"/>
      <c r="L153" s="14" t="inlineStr"/>
    </row>
    <row r="154">
      <c r="A154" s="5" t="inlineStr">
        <is>
          <t>12.5</t>
        </is>
      </c>
      <c r="B154" s="5" t="inlineStr">
        <is>
          <t>M12</t>
        </is>
      </c>
      <c r="C154" s="5" t="inlineStr">
        <is>
          <t>المراقبة: Sentry (BE/FE)، مراقبة uptime، تنبيه توقف الطوابير والراوترات</t>
        </is>
      </c>
      <c r="D154" s="5" t="inlineStr">
        <is>
          <t>NFR-PERF</t>
        </is>
      </c>
      <c r="E154" s="5" t="inlineStr">
        <is>
          <t>جديد</t>
        </is>
      </c>
      <c r="F154" s="5" t="inlineStr">
        <is>
          <t>Ops</t>
        </is>
      </c>
      <c r="G154" s="6" t="n">
        <v>0.5</v>
      </c>
      <c r="H154" s="5" t="inlineStr">
        <is>
          <t>لا</t>
        </is>
      </c>
      <c r="I154" s="14" t="inlineStr">
        <is>
          <t>⬜ لم يبدأ</t>
        </is>
      </c>
      <c r="J154" s="14" t="inlineStr">
        <is>
          <t>chore/m12-hardening</t>
        </is>
      </c>
      <c r="K154" s="14" t="inlineStr"/>
      <c r="L154" s="14" t="inlineStr"/>
    </row>
    <row r="155">
      <c r="A155" s="5" t="inlineStr">
        <is>
          <t>12.6</t>
        </is>
      </c>
      <c r="B155" s="5" t="inlineStr">
        <is>
          <t>M12</t>
        </is>
      </c>
      <c r="C155" s="5" t="inlineStr">
        <is>
          <t>مراجعة التعريب وتوحيد المصطلحات (لا نصوص آلية ولا إنجليزية متبقية) + قاموس مصطلحات</t>
        </is>
      </c>
      <c r="D155" s="5" t="inlineStr">
        <is>
          <t>NFR-I18N، §7.3</t>
        </is>
      </c>
      <c r="E155" s="5" t="inlineStr">
        <is>
          <t>توسعة: ملفات messages في الواجهة</t>
        </is>
      </c>
      <c r="F155" s="5" t="inlineStr">
        <is>
          <t>FE+PM</t>
        </is>
      </c>
      <c r="G155" s="6" t="n">
        <v>1</v>
      </c>
      <c r="H155" s="5" t="inlineStr">
        <is>
          <t>لا</t>
        </is>
      </c>
      <c r="I155" s="14" t="inlineStr">
        <is>
          <t>⬜ لم يبدأ</t>
        </is>
      </c>
      <c r="J155" s="14" t="inlineStr">
        <is>
          <t>chore/m12-hardening</t>
        </is>
      </c>
      <c r="K155" s="14" t="inlineStr"/>
      <c r="L155" s="14" t="inlineStr"/>
    </row>
    <row r="156">
      <c r="A156" s="5" t="inlineStr">
        <is>
          <t>12.7</t>
        </is>
      </c>
      <c r="B156" s="5" t="inlineStr">
        <is>
          <t>M12</t>
        </is>
      </c>
      <c r="C156" s="5" t="inlineStr">
        <is>
          <t>الأداء: الفهارس، كاش Redis للمراقب المباشر، الاستعلامات البطيئة، منع N+1</t>
        </is>
      </c>
      <c r="D156" s="5" t="inlineStr">
        <is>
          <t>NFR-PERF</t>
        </is>
      </c>
      <c r="E156" s="5" t="inlineStr">
        <is>
          <t>جديد</t>
        </is>
      </c>
      <c r="F156" s="5" t="inlineStr">
        <is>
          <t>BE</t>
        </is>
      </c>
      <c r="G156" s="6" t="n">
        <v>0.75</v>
      </c>
      <c r="H156" s="5" t="inlineStr">
        <is>
          <t>لا</t>
        </is>
      </c>
      <c r="I156" s="14" t="inlineStr">
        <is>
          <t>⬜ لم يبدأ</t>
        </is>
      </c>
      <c r="J156" s="14" t="inlineStr">
        <is>
          <t>chore/m12-hardening</t>
        </is>
      </c>
      <c r="K156" s="14" t="inlineStr"/>
      <c r="L156" s="14" t="inlineStr"/>
    </row>
    <row r="157">
      <c r="A157" s="5" t="inlineStr">
        <is>
          <t>12.8</t>
        </is>
      </c>
      <c r="B157" s="5" t="inlineStr">
        <is>
          <t>M12</t>
        </is>
      </c>
      <c r="C157" s="5" t="inlineStr">
        <is>
          <t>سياسة الاحتفاظ بالبيانات والخصوصية (MAC، الجلسات) وتطبيقها</t>
        </is>
      </c>
      <c r="D157" s="5" t="inlineStr">
        <is>
          <t>سؤال مفتوح 4</t>
        </is>
      </c>
      <c r="E157" s="5" t="inlineStr">
        <is>
          <t>جديد</t>
        </is>
      </c>
      <c r="F157" s="5" t="inlineStr">
        <is>
          <t>BE</t>
        </is>
      </c>
      <c r="G157" s="6" t="n">
        <v>0.25</v>
      </c>
      <c r="H157" s="5" t="inlineStr">
        <is>
          <t>لا</t>
        </is>
      </c>
      <c r="I157" s="14" t="inlineStr">
        <is>
          <t>⬜ لم يبدأ</t>
        </is>
      </c>
      <c r="J157" s="14" t="inlineStr">
        <is>
          <t>chore/m12-hardening</t>
        </is>
      </c>
      <c r="K157" s="14" t="inlineStr"/>
      <c r="L157" s="14" t="inlineStr"/>
    </row>
    <row r="158">
      <c r="A158" s="5" t="inlineStr">
        <is>
          <t>13.1</t>
        </is>
      </c>
      <c r="B158" s="5" t="inlineStr">
        <is>
          <t>M13</t>
        </is>
      </c>
      <c r="C158" s="5" t="inlineStr">
        <is>
          <t>الترحيل النهائي لبيانات TAQAT GAZA (461 مشتركًا، 1,149 جهازًا، العقود، الإحصاءات) + تقرير مطابقة</t>
        </is>
      </c>
      <c r="D158" s="5" t="inlineStr">
        <is>
          <t>§7.3</t>
        </is>
      </c>
      <c r="E158" s="5" t="inlineStr">
        <is>
          <t>جديد</t>
        </is>
      </c>
      <c r="F158" s="5" t="inlineStr">
        <is>
          <t>BE</t>
        </is>
      </c>
      <c r="G158" s="6" t="n">
        <v>1.5</v>
      </c>
      <c r="H158" s="5" t="inlineStr">
        <is>
          <t>لا</t>
        </is>
      </c>
      <c r="I158" s="14" t="inlineStr">
        <is>
          <t>⬜ لم يبدأ</t>
        </is>
      </c>
      <c r="J158" s="14" t="inlineStr">
        <is>
          <t>release/m13-launch</t>
        </is>
      </c>
      <c r="K158" s="14" t="inlineStr"/>
      <c r="L158" s="14" t="inlineStr"/>
    </row>
    <row r="159">
      <c r="A159" s="5" t="inlineStr">
        <is>
          <t>13.2</t>
        </is>
      </c>
      <c r="B159" s="5" t="inlineStr">
        <is>
          <t>M13</t>
        </is>
      </c>
      <c r="C159" s="5" t="inlineStr">
        <is>
          <t>تنظيف البيانات: دمج المكررات، إكمال الملفات الناقصة (24)، إصلاح الأسماء الرقمية و«Guset»</t>
        </is>
      </c>
      <c r="D159" s="5" t="inlineStr">
        <is>
          <t>§7.4 (5)</t>
        </is>
      </c>
      <c r="E159" s="5" t="inlineStr">
        <is>
          <t>جديد</t>
        </is>
      </c>
      <c r="F159" s="5" t="inlineStr">
        <is>
          <t>PM+BE</t>
        </is>
      </c>
      <c r="G159" s="6" t="n">
        <v>0.75</v>
      </c>
      <c r="H159" s="5" t="inlineStr">
        <is>
          <t>لا</t>
        </is>
      </c>
      <c r="I159" s="14" t="inlineStr">
        <is>
          <t>⬜ لم يبدأ</t>
        </is>
      </c>
      <c r="J159" s="14" t="inlineStr">
        <is>
          <t>release/m13-launch</t>
        </is>
      </c>
      <c r="K159" s="14" t="inlineStr"/>
      <c r="L159" s="14" t="inlineStr"/>
    </row>
    <row r="160">
      <c r="A160" s="5" t="inlineStr">
        <is>
          <t>13.3</t>
        </is>
      </c>
      <c r="B160" s="5" t="inlineStr">
        <is>
          <t>M13</t>
        </is>
      </c>
      <c r="C160" s="5" t="inlineStr">
        <is>
          <t>الإعداد الفعلي: 80 مكتبًا، الخطط، ربط 82 مشتركًا نشطًا باشتراكات مالية، مراجعة عتبة الاستهلاك المرتفع</t>
        </is>
      </c>
      <c r="D160" s="5" t="inlineStr">
        <is>
          <t>§7.4 (1، 2، 7)</t>
        </is>
      </c>
      <c r="E160" s="5" t="inlineStr">
        <is>
          <t>جديد</t>
        </is>
      </c>
      <c r="F160" s="5" t="inlineStr">
        <is>
          <t>PM</t>
        </is>
      </c>
      <c r="G160" s="6" t="n">
        <v>0.75</v>
      </c>
      <c r="H160" s="5" t="inlineStr">
        <is>
          <t>لا</t>
        </is>
      </c>
      <c r="I160" s="14" t="inlineStr">
        <is>
          <t>⬜ لم يبدأ</t>
        </is>
      </c>
      <c r="J160" s="14" t="inlineStr">
        <is>
          <t>release/m13-launch</t>
        </is>
      </c>
      <c r="K160" s="14" t="inlineStr"/>
      <c r="L160" s="14" t="inlineStr"/>
    </row>
    <row r="161">
      <c r="A161" s="5" t="inlineStr">
        <is>
          <t>13.4</t>
        </is>
      </c>
      <c r="B161" s="5" t="inlineStr">
        <is>
          <t>M13</t>
        </is>
      </c>
      <c r="C161" s="5" t="inlineStr">
        <is>
          <t>UAT مع صاحب المساحة والموظفين والسوبر أدمن وعينة فريلانسرز</t>
        </is>
      </c>
      <c r="D161" s="5" t="inlineStr">
        <is>
          <t>—</t>
        </is>
      </c>
      <c r="E161" s="5" t="inlineStr">
        <is>
          <t>جديد</t>
        </is>
      </c>
      <c r="F161" s="5" t="inlineStr">
        <is>
          <t>PM+QA</t>
        </is>
      </c>
      <c r="G161" s="6" t="n">
        <v>1.5</v>
      </c>
      <c r="H161" s="5" t="inlineStr">
        <is>
          <t>لا</t>
        </is>
      </c>
      <c r="I161" s="14" t="inlineStr">
        <is>
          <t>⬜ لم يبدأ</t>
        </is>
      </c>
      <c r="J161" s="14" t="inlineStr">
        <is>
          <t>release/m13-launch</t>
        </is>
      </c>
      <c r="K161" s="14" t="inlineStr"/>
      <c r="L161" s="14" t="inlineStr"/>
    </row>
    <row r="162">
      <c r="A162" s="5" t="inlineStr">
        <is>
          <t>13.5</t>
        </is>
      </c>
      <c r="B162" s="5" t="inlineStr">
        <is>
          <t>M13</t>
        </is>
      </c>
      <c r="C162" s="5" t="inlineStr">
        <is>
          <t>التدريب وأدلة الاستخدام لكل دور</t>
        </is>
      </c>
      <c r="D162" s="5" t="inlineStr">
        <is>
          <t>—</t>
        </is>
      </c>
      <c r="E162" s="5" t="inlineStr">
        <is>
          <t>جديد</t>
        </is>
      </c>
      <c r="F162" s="5" t="inlineStr">
        <is>
          <t>PM</t>
        </is>
      </c>
      <c r="G162" s="6" t="n">
        <v>0.75</v>
      </c>
      <c r="H162" s="5" t="inlineStr">
        <is>
          <t>لا</t>
        </is>
      </c>
      <c r="I162" s="14" t="inlineStr">
        <is>
          <t>⬜ لم يبدأ</t>
        </is>
      </c>
      <c r="J162" s="14" t="inlineStr">
        <is>
          <t>release/m13-launch</t>
        </is>
      </c>
      <c r="K162" s="14" t="inlineStr"/>
      <c r="L162" s="14" t="inlineStr"/>
    </row>
    <row r="163">
      <c r="A163" s="5" t="inlineStr">
        <is>
          <t>13.8</t>
        </is>
      </c>
      <c r="B163" s="5" t="inlineStr">
        <is>
          <t>M13</t>
        </is>
      </c>
      <c r="C163" s="5" t="inlineStr">
        <is>
          <t>تمرين خطة الرجوع قبل القطع: إعادة تفعيل سكربت CoWorkSpaces والتحقق، ثم الإزالة</t>
        </is>
      </c>
      <c r="D163" s="5" t="inlineStr">
        <is>
          <t>—</t>
        </is>
      </c>
      <c r="E163" s="5" t="inlineStr">
        <is>
          <t>جديد</t>
        </is>
      </c>
      <c r="F163" s="5" t="inlineStr">
        <is>
          <t>Ops</t>
        </is>
      </c>
      <c r="G163" s="6" t="n">
        <v>0.25</v>
      </c>
      <c r="H163" s="5" t="inlineStr">
        <is>
          <t>لا</t>
        </is>
      </c>
      <c r="I163" s="14" t="inlineStr">
        <is>
          <t>⬜ لم يبدأ</t>
        </is>
      </c>
      <c r="J163" s="14" t="inlineStr">
        <is>
          <t>release/m13-launch</t>
        </is>
      </c>
      <c r="K163" s="14" t="inlineStr"/>
      <c r="L163" s="14" t="inlineStr"/>
    </row>
    <row r="164">
      <c r="A164" s="5" t="inlineStr">
        <is>
          <t>13.6</t>
        </is>
      </c>
      <c r="B164" s="5" t="inlineStr">
        <is>
          <t>M13</t>
        </is>
      </c>
      <c r="C164" s="5" t="inlineStr">
        <is>
          <t>قطع الاتصال بـ CoWorkSpaces: إزالة سكربتهم وتفعيل خطافات TaqatSpace الكاملة على الراوتر</t>
        </is>
      </c>
      <c r="D164" s="5" t="inlineStr">
        <is>
          <t>—</t>
        </is>
      </c>
      <c r="E164" s="5" t="inlineStr">
        <is>
          <t>جديد</t>
        </is>
      </c>
      <c r="F164" s="5" t="inlineStr">
        <is>
          <t>Ops</t>
        </is>
      </c>
      <c r="G164" s="6" t="n">
        <v>0.25</v>
      </c>
      <c r="H164" s="5" t="inlineStr">
        <is>
          <t>لا</t>
        </is>
      </c>
      <c r="I164" s="14" t="inlineStr">
        <is>
          <t>⬜ لم يبدأ</t>
        </is>
      </c>
      <c r="J164" s="14" t="inlineStr">
        <is>
          <t>release/m13-launch</t>
        </is>
      </c>
      <c r="K164" s="14" t="inlineStr"/>
      <c r="L164" s="14" t="inlineStr"/>
    </row>
    <row r="165">
      <c r="A165" s="5" t="inlineStr">
        <is>
          <t>13.7</t>
        </is>
      </c>
      <c r="B165" s="5" t="inlineStr">
        <is>
          <t>M13</t>
        </is>
      </c>
      <c r="C165" s="5" t="inlineStr">
        <is>
          <t>Hypercare: مراقبة أسبوع أول + إغلاق أول شهر تشغيل كامل (UR + مطالبة)</t>
        </is>
      </c>
      <c r="D165" s="5" t="inlineStr">
        <is>
          <t>—</t>
        </is>
      </c>
      <c r="E165" s="5" t="inlineStr">
        <is>
          <t>جديد</t>
        </is>
      </c>
      <c r="F165" s="5" t="inlineStr">
        <is>
          <t>الكل</t>
        </is>
      </c>
      <c r="G165" s="6" t="n">
        <v>2.5</v>
      </c>
      <c r="H165" s="5" t="inlineStr">
        <is>
          <t>لا</t>
        </is>
      </c>
      <c r="I165" s="14" t="inlineStr">
        <is>
          <t>⬜ لم يبدأ</t>
        </is>
      </c>
      <c r="J165" s="14" t="inlineStr">
        <is>
          <t>release/m13-launch</t>
        </is>
      </c>
      <c r="K165" s="14" t="inlineStr"/>
      <c r="L165" s="14" t="inlineStr"/>
    </row>
  </sheetData>
  <autoFilter ref="A1:L165"/>
  <conditionalFormatting sqref="I2:I165">
    <cfRule type="cellIs" priority="1" operator="equal" dxfId="0">
      <formula>"✅ مكتمل"</formula>
    </cfRule>
    <cfRule type="cellIs" priority="2" operator="equal" dxfId="1">
      <formula>"🟨 قيد التنفيذ"</formula>
    </cfRule>
    <cfRule type="cellIs" priority="3" operator="equal" dxfId="2">
      <formula>"⛔ متوقف"</formula>
    </cfRule>
  </conditionalFormatting>
  <dataValidations count="1">
    <dataValidation sqref="I2:I165" showDropDown="0" showInputMessage="0" showErrorMessage="0" allowBlank="0" type="list">
      <formula1>"⬜ لم يبدأ,🟨 قيد التنفيذ,✅ مكتمل,⛔ متوقف"</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rightToLeft="1" workbookViewId="0">
      <pane ySplit="1" topLeftCell="A2" activePane="bottomLeft" state="frozen"/>
      <selection pane="bottomLeft" activeCell="A1" sqref="A1"/>
    </sheetView>
  </sheetViews>
  <sheetFormatPr baseColWidth="8" defaultRowHeight="15"/>
  <cols>
    <col width="14" customWidth="1" min="1" max="1"/>
    <col width="14" customWidth="1" min="2" max="2"/>
    <col width="10" customWidth="1" min="3" max="3"/>
  </cols>
  <sheetData>
    <row r="1">
      <c r="A1" s="4" t="inlineStr">
        <is>
          <t>النوع</t>
        </is>
      </c>
      <c r="B1" s="4" t="inlineStr">
        <is>
          <t>الجهد (أيام)</t>
        </is>
      </c>
      <c r="C1" s="4" t="inlineStr">
        <is>
          <t>النسبة</t>
        </is>
      </c>
    </row>
    <row r="2">
      <c r="A2" s="15" t="inlineStr">
        <is>
          <t>BE</t>
        </is>
      </c>
      <c r="B2" s="16">
        <f>SUMIFS(Tasks!$G$2:$G$165,Tasks!$F$2:$F$165,A2)</f>
        <v/>
      </c>
      <c r="C2" s="17">
        <f>IFERROR(B2/SUM($B$2:$B$12),0)</f>
        <v/>
      </c>
    </row>
    <row r="3">
      <c r="A3" s="15" t="inlineStr">
        <is>
          <t>BE+FE</t>
        </is>
      </c>
      <c r="B3" s="16">
        <f>SUMIFS(Tasks!$G$2:$G$165,Tasks!$F$2:$F$165,A3)</f>
        <v/>
      </c>
      <c r="C3" s="17">
        <f>IFERROR(B3/SUM($B$2:$B$12),0)</f>
        <v/>
      </c>
    </row>
    <row r="4">
      <c r="A4" s="15" t="inlineStr">
        <is>
          <t>BE+Ops</t>
        </is>
      </c>
      <c r="B4" s="16">
        <f>SUMIFS(Tasks!$G$2:$G$165,Tasks!$F$2:$F$165,A4)</f>
        <v/>
      </c>
      <c r="C4" s="17">
        <f>IFERROR(B4/SUM($B$2:$B$12),0)</f>
        <v/>
      </c>
    </row>
    <row r="5">
      <c r="A5" s="15" t="inlineStr">
        <is>
          <t>FE</t>
        </is>
      </c>
      <c r="B5" s="16">
        <f>SUMIFS(Tasks!$G$2:$G$165,Tasks!$F$2:$F$165,A5)</f>
        <v/>
      </c>
      <c r="C5" s="17">
        <f>IFERROR(B5/SUM($B$2:$B$12),0)</f>
        <v/>
      </c>
    </row>
    <row r="6">
      <c r="A6" s="15" t="inlineStr">
        <is>
          <t>FE+PM</t>
        </is>
      </c>
      <c r="B6" s="16">
        <f>SUMIFS(Tasks!$G$2:$G$165,Tasks!$F$2:$F$165,A6)</f>
        <v/>
      </c>
      <c r="C6" s="17">
        <f>IFERROR(B6/SUM($B$2:$B$12),0)</f>
        <v/>
      </c>
    </row>
    <row r="7">
      <c r="A7" s="15" t="inlineStr">
        <is>
          <t>Ops</t>
        </is>
      </c>
      <c r="B7" s="16">
        <f>SUMIFS(Tasks!$G$2:$G$165,Tasks!$F$2:$F$165,A7)</f>
        <v/>
      </c>
      <c r="C7" s="17">
        <f>IFERROR(B7/SUM($B$2:$B$12),0)</f>
        <v/>
      </c>
    </row>
    <row r="8">
      <c r="A8" s="15" t="inlineStr">
        <is>
          <t>PM</t>
        </is>
      </c>
      <c r="B8" s="16">
        <f>SUMIFS(Tasks!$G$2:$G$165,Tasks!$F$2:$F$165,A8)</f>
        <v/>
      </c>
      <c r="C8" s="17">
        <f>IFERROR(B8/SUM($B$2:$B$12),0)</f>
        <v/>
      </c>
    </row>
    <row r="9">
      <c r="A9" s="15" t="inlineStr">
        <is>
          <t>PM+BE</t>
        </is>
      </c>
      <c r="B9" s="16">
        <f>SUMIFS(Tasks!$G$2:$G$165,Tasks!$F$2:$F$165,A9)</f>
        <v/>
      </c>
      <c r="C9" s="17">
        <f>IFERROR(B9/SUM($B$2:$B$12),0)</f>
        <v/>
      </c>
    </row>
    <row r="10">
      <c r="A10" s="15" t="inlineStr">
        <is>
          <t>PM+QA</t>
        </is>
      </c>
      <c r="B10" s="16">
        <f>SUMIFS(Tasks!$G$2:$G$165,Tasks!$F$2:$F$165,A10)</f>
        <v/>
      </c>
      <c r="C10" s="17">
        <f>IFERROR(B10/SUM($B$2:$B$12),0)</f>
        <v/>
      </c>
    </row>
    <row r="11">
      <c r="A11" s="15" t="inlineStr">
        <is>
          <t>QA</t>
        </is>
      </c>
      <c r="B11" s="16">
        <f>SUMIFS(Tasks!$G$2:$G$165,Tasks!$F$2:$F$165,A11)</f>
        <v/>
      </c>
      <c r="C11" s="17">
        <f>IFERROR(B11/SUM($B$2:$B$12),0)</f>
        <v/>
      </c>
    </row>
    <row r="12">
      <c r="A12" s="15" t="inlineStr">
        <is>
          <t>الكل</t>
        </is>
      </c>
      <c r="B12" s="16">
        <f>SUMIFS(Tasks!$G$2:$G$165,Tasks!$F$2:$F$165,A12)</f>
        <v/>
      </c>
      <c r="C12" s="17">
        <f>IFERROR(B12/SUM($B$2:$B$12),0)</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7"/>
  <sheetViews>
    <sheetView rightToLeft="1" workbookViewId="0">
      <pane ySplit="1" topLeftCell="A2" activePane="bottomLeft" state="frozen"/>
      <selection pane="bottomLeft" activeCell="A1" sqref="A1"/>
    </sheetView>
  </sheetViews>
  <sheetFormatPr baseColWidth="8" defaultRowHeight="15"/>
  <cols>
    <col width="26" customWidth="1" min="1" max="1"/>
    <col width="14" customWidth="1" min="2" max="2"/>
    <col width="50" customWidth="1" min="3" max="3"/>
    <col width="8" customWidth="1" min="4" max="4"/>
    <col width="55" customWidth="1" min="5" max="5"/>
    <col width="60" customWidth="1" min="6" max="6"/>
  </cols>
  <sheetData>
    <row r="1">
      <c r="A1" s="4" t="inlineStr">
        <is>
          <t>القسم</t>
        </is>
      </c>
      <c r="B1" s="4" t="inlineStr">
        <is>
          <t>المعرّف</t>
        </is>
      </c>
      <c r="C1" s="4" t="inlineStr">
        <is>
          <t>المتطلب</t>
        </is>
      </c>
      <c r="D1" s="4" t="inlineStr">
        <is>
          <t>الحالة</t>
        </is>
      </c>
      <c r="E1" s="4" t="inlineStr">
        <is>
          <t>الموجود حاليًا</t>
        </is>
      </c>
      <c r="F1" s="4" t="inlineStr">
        <is>
          <t>الناقص</t>
        </is>
      </c>
    </row>
    <row r="2">
      <c r="A2" s="5" t="inlineStr">
        <is>
          <t>§2.3 أنواع الاشتراك</t>
        </is>
      </c>
      <c r="B2" s="5" t="inlineStr">
        <is>
          <t>SUBTYPE</t>
        </is>
      </c>
      <c r="C2" s="5" t="inlineStr">
        <is>
          <t>أنواع الاشتراك: شهري، أسبوعي، يومي، بالساعة، زائر، موظف + طرق تسعير الخطط (ثابت، بالساعات، بالـGB، باقة بحد وصلاحية)</t>
        </is>
      </c>
      <c r="D2" s="5" t="inlineStr">
        <is>
          <t>🟨</t>
        </is>
      </c>
      <c r="E2" s="5" t="inlineStr">
        <is>
          <t>backend/app/Enums/PlanType.php (monthly/daily/custom)، backend/app/Models/Subscription.php، backend/app/Models/InternetPackage.php</t>
        </is>
      </c>
      <c r="F2" s="5" t="inlineStr">
        <is>
          <t>إضافة weekly وhourly وvisitor وstaff إلى PlanType؛ نموذج خطة مالية بـ6 طرق تسعير (ساعات/GB/باقة بصلاحية)؛ ربط الاشتراك بالخطة وسعر الزيادة</t>
        </is>
      </c>
    </row>
    <row r="3">
      <c r="A3" s="5" t="inlineStr">
        <is>
          <t>§2.2 / §6 موظف المساحة</t>
        </is>
      </c>
      <c r="B3" s="5" t="inlineStr">
        <is>
          <t>STAFF-01</t>
        </is>
      </c>
      <c r="C3" s="5" t="inlineStr">
        <is>
          <t>دعوة موظف بالبريد + مجموعات جاهزة (صندوق/ضيافة/مشرف مالي) أو صلاحيات فردية</t>
        </is>
      </c>
      <c r="D3" s="5" t="inlineStr">
        <is>
          <t>🟨</t>
        </is>
      </c>
      <c r="E3" s="5" t="inlineStr">
        <is>
          <t>backend/app/Services/Pos/CashierManagementService.php، backend/app/Enums/PosPermission.php (4 صلاحيات POS فقط)، frontend/src/components/features/owner/CashiersManager.tsx</t>
        </is>
      </c>
      <c r="F3" s="5" t="inlineStr">
        <is>
          <t>توسيع الدور من "كاشير POS" إلى موظف مساحة عام بصلاحيات مالية (فواتير، مصروفات، أصناف، استيراد، تقارير)؛ مجموعات جاهزة؛ صفحة /settings/staff</t>
        </is>
      </c>
    </row>
    <row r="4">
      <c r="A4" s="5" t="inlineStr">
        <is>
          <t>§2.2 / §6 موظف المساحة</t>
        </is>
      </c>
      <c r="B4" s="5" t="inlineStr">
        <is>
          <t>SEC-2FA</t>
        </is>
      </c>
      <c r="C4" s="5" t="inlineStr">
        <is>
          <t>مصادقة ثنائية لإصدار/إلغاء الفواتير (للموظف)</t>
        </is>
      </c>
      <c r="D4" s="5" t="inlineStr">
        <is>
          <t>⬜</t>
        </is>
      </c>
      <c r="E4" s="5" t="inlineStr">
        <is>
          <t>لا يوجد (لا TOTP/OTP في backend/app)</t>
        </is>
      </c>
      <c r="F4" s="5" t="inlineStr">
        <is>
          <t>TOTP أو OTP عبر البريد/SMS، تسجيل جهاز، middleware يفرضها على إصدار/إلغاء الفاتورة</t>
        </is>
      </c>
    </row>
    <row r="5">
      <c r="A5" s="5" t="inlineStr">
        <is>
          <t>§2.2 / §6 موظف المساحة</t>
        </is>
      </c>
      <c r="B5" s="5" t="inlineStr">
        <is>
          <t>UX-KBD</t>
        </is>
      </c>
      <c r="C5" s="5" t="inlineStr">
        <is>
          <t>اختصارات لوحة المفاتيح (F2 اختيار مشترك، Alt+S/A/R/L)</t>
        </is>
      </c>
      <c r="D5" s="5" t="inlineStr">
        <is>
          <t>⬜</t>
        </is>
      </c>
      <c r="E5" s="5" t="inlineStr">
        <is>
          <t>frontend/src/components/layout/DashShell.tsx (Escape فقط)</t>
        </is>
      </c>
      <c r="F5" s="5" t="inlineStr">
        <is>
          <t>hook اختصارات عام، F2 في PosTerminal.tsx، اختصارات اللوحة، مساعدة اختصارات</t>
        </is>
      </c>
    </row>
    <row r="6">
      <c r="A6" s="5" t="inlineStr">
        <is>
          <t>§3.1 الرئيسية</t>
        </is>
      </c>
      <c r="B6" s="5" t="inlineStr">
        <is>
          <t>FR-DSH-01</t>
        </is>
      </c>
      <c r="C6" s="5" t="inlineStr">
        <is>
          <t>درجة صحة المساحة /100 بأربعة مكونات + توصيات</t>
        </is>
      </c>
      <c r="D6" s="5" t="inlineStr">
        <is>
          <t>⬜</t>
        </is>
      </c>
      <c r="E6" s="5" t="inlineStr">
        <is>
          <t>backend/app/Services/OwnerDashboardService.php (إشغال، إيراد فقط)</t>
        </is>
      </c>
      <c r="F6" s="5" t="inlineStr">
        <is>
          <t>خوارزمية الدرجة (استخدام/احتفاظ/نشاط/اتصال) وتوصيات نصية؛ تعتمد الاتصال والنشاط على بيانات الحضور غير الموجودة</t>
        </is>
      </c>
    </row>
    <row r="7">
      <c r="A7" s="5" t="inlineStr">
        <is>
          <t>§3.1 الرئيسية</t>
        </is>
      </c>
      <c r="B7" s="5" t="inlineStr">
        <is>
          <t>FR-DSH-02</t>
        </is>
      </c>
      <c r="C7" s="5" t="inlineStr">
        <is>
          <t>بطاقات KPI: نشطون، متصلون الآن، حضور اليوم، UR، تنزيل/رفع، DAU/WAU/MAU، الأجهزة</t>
        </is>
      </c>
      <c r="D7" s="5" t="inlineStr">
        <is>
          <t>🟨</t>
        </is>
      </c>
      <c r="E7" s="5" t="inlineStr">
        <is>
          <t>backend/app/Services/OwnerDashboardService.php، frontend/src/app/[locale]/(dashboard)/owner/page.tsx</t>
        </is>
      </c>
      <c r="F7" s="5" t="inlineStr">
        <is>
          <t>الموجود: نشطون، إشغال، مقاعد متاحة، طلبات معلقة، فواتير متأخرة. الناقص: كل بطاقات الشبكة والحضور وUR</t>
        </is>
      </c>
    </row>
    <row r="8">
      <c r="A8" s="5" t="inlineStr">
        <is>
          <t>§3.1 الرئيسية</t>
        </is>
      </c>
      <c r="B8" s="5" t="inlineStr">
        <is>
          <t>FR-DSH-03</t>
        </is>
      </c>
      <c r="C8" s="5" t="inlineStr">
        <is>
          <t>رسوم: نشاط 30 يومًا، توزيع الأنواع، استهلاك الإنترنت، ساعات الذروة، أيام الأسبوع</t>
        </is>
      </c>
      <c r="D8" s="5" t="inlineStr">
        <is>
          <t>🟨</t>
        </is>
      </c>
      <c r="E8" s="5" t="inlineStr">
        <is>
          <t>backend/app/Services/OwnerDashboardService.php (revenue_chart 6 أشهر، members_by_status، members_by_gender)، frontend/src/app/[locale]/(dashboard)/owner/page.tsx</t>
        </is>
      </c>
      <c r="F8" s="5" t="inlineStr">
        <is>
          <t>رسوم النشاط والاستهلاك وساعات الذروة وأيام الأسبوع (تتطلب حضور/شبكة)؛ توزيع أنواع الاشتراك بدل الحالة</t>
        </is>
      </c>
    </row>
    <row r="9">
      <c r="A9" s="5" t="inlineStr">
        <is>
          <t>§3.1 الرئيسية</t>
        </is>
      </c>
      <c r="B9" s="5" t="inlineStr">
        <is>
          <t>FR-DSH-04</t>
        </is>
      </c>
      <c r="C9" s="5" t="inlineStr">
        <is>
          <t>النمو والتفاعل: جدد، احتفاظ، معرّضون للتوقف 14+ يومًا، DAU/MAU</t>
        </is>
      </c>
      <c r="D9" s="5" t="inlineStr">
        <is>
          <t>⬜</t>
        </is>
      </c>
      <c r="E9" s="5" t="inlineStr">
        <is>
          <t>لا يوجد (OwnerDashboardService لا يحسبها)</t>
        </is>
      </c>
      <c r="F9" s="5" t="inlineStr">
        <is>
          <t>حساب الجدد والاحتفاظ؛ مؤشر التوقف يتطلب بيانات النشاط</t>
        </is>
      </c>
    </row>
    <row r="10">
      <c r="A10" s="5" t="inlineStr">
        <is>
          <t>§3.1 الرئيسية</t>
        </is>
      </c>
      <c r="B10" s="5" t="inlineStr">
        <is>
          <t>FR-DSH-05</t>
        </is>
      </c>
      <c r="C10" s="5" t="inlineStr">
        <is>
          <t>إيراد متوقع، ARPU، نسبة إشغال المقاعد (كتقدير)</t>
        </is>
      </c>
      <c r="D10" s="5" t="inlineStr">
        <is>
          <t>🟨</t>
        </is>
      </c>
      <c r="E10" s="5" t="inlineStr">
        <is>
          <t>backend/app/Services/OwnerDashboardService.php (occupancy_pct، revenue_this_month/last_month)</t>
        </is>
      </c>
      <c r="F10" s="5" t="inlineStr">
        <is>
          <t>الإيراد المتوقع وARPU وتوضيح أنه تقدير</t>
        </is>
      </c>
    </row>
    <row r="11">
      <c r="A11" s="5" t="inlineStr">
        <is>
          <t>§3.1 الرئيسية</t>
        </is>
      </c>
      <c r="B11" s="5" t="inlineStr">
        <is>
          <t>FR-DSH-06</t>
        </is>
      </c>
      <c r="C11" s="5" t="inlineStr">
        <is>
          <t>شرائح المشتركين: أبطال، معرّضون، منسحبون، جدد، خاملون، منتظمون</t>
        </is>
      </c>
      <c r="D11" s="5" t="inlineStr">
        <is>
          <t>⬜</t>
        </is>
      </c>
      <c r="E11" s="5" t="inlineStr">
        <is>
          <t>لا يوجد</t>
        </is>
      </c>
      <c r="F11" s="5" t="inlineStr">
        <is>
          <t>محرك تقسيم (segmentation) يعتمد سجل الحضور/الاستخدام</t>
        </is>
      </c>
    </row>
    <row r="12">
      <c r="A12" s="5" t="inlineStr">
        <is>
          <t>§3.1 الرئيسية</t>
        </is>
      </c>
      <c r="B12" s="5" t="inlineStr">
        <is>
          <t>FR-DSH-07</t>
        </is>
      </c>
      <c r="C12" s="5" t="inlineStr">
        <is>
          <t>توقع الشهر القادم بانحدار OLS مع R² وموثوقية</t>
        </is>
      </c>
      <c r="D12" s="5" t="inlineStr">
        <is>
          <t>⬜</t>
        </is>
      </c>
      <c r="E12" s="5" t="inlineStr">
        <is>
          <t>لا يوجد</t>
        </is>
      </c>
      <c r="F12" s="5" t="inlineStr">
        <is>
          <t>خدمة توقع (OLS) على الإيراد/الحضور وعرض R²</t>
        </is>
      </c>
    </row>
    <row r="13">
      <c r="A13" s="5" t="inlineStr">
        <is>
          <t>§3.1 الرئيسية</t>
        </is>
      </c>
      <c r="B13" s="5" t="inlineStr">
        <is>
          <t>FR-DSH-08</t>
        </is>
      </c>
      <c r="C13" s="5" t="inlineStr">
        <is>
          <t>قائمة "يحتاجون متابعة" وجدول ولاء + اختصارات Alt+S/A/R/L</t>
        </is>
      </c>
      <c r="D13" s="5" t="inlineStr">
        <is>
          <t>⬜</t>
        </is>
      </c>
      <c r="E13" s="5" t="inlineStr">
        <is>
          <t>لا يوجد (انظر UX-KBD)</t>
        </is>
      </c>
      <c r="F13" s="5" t="inlineStr">
        <is>
          <t>مؤشر الولاء وقائمة المتابعة والاختصارات</t>
        </is>
      </c>
    </row>
    <row r="14">
      <c r="A14" s="5" t="inlineStr">
        <is>
          <t>§3.1 الرئيسية</t>
        </is>
      </c>
      <c r="B14" s="5" t="inlineStr">
        <is>
          <t>FR-DSH-09</t>
        </is>
      </c>
      <c r="C14" s="5" t="inlineStr">
        <is>
          <t>آخر مزامنة وعدد اللقطات 24 ساعة + زر تحديث يدوي</t>
        </is>
      </c>
      <c r="D14" s="5" t="inlineStr">
        <is>
          <t>⬜</t>
        </is>
      </c>
      <c r="E14" s="5" t="inlineStr">
        <is>
          <t>لا يوجد (لا مزامنة شبكة)</t>
        </is>
      </c>
      <c r="F14" s="5" t="inlineStr">
        <is>
          <t>يتبع بناء تكامل MikroTik وجدول snapshots</t>
        </is>
      </c>
    </row>
    <row r="15">
      <c r="A15" s="5" t="inlineStr">
        <is>
          <t>§3.1 الرئيسية</t>
        </is>
      </c>
      <c r="B15" s="5" t="inlineStr">
        <is>
          <t>FR-NET-01</t>
        </is>
      </c>
      <c r="C15" s="5" t="inlineStr">
        <is>
          <t>جدول الأجهزة المتصلة (مستخدم، نوع، MAC، IP، uptime، تنزيل/رفع)</t>
        </is>
      </c>
      <c r="D15" s="5" t="inlineStr">
        <is>
          <t>⬜</t>
        </is>
      </c>
      <c r="E15" s="5" t="inlineStr">
        <is>
          <t>لا يوجد؛ الأقرب backend/app/Services/InternetAccessService.php (اعتمادات فقط)</t>
        </is>
      </c>
      <c r="F15" s="5" t="inlineStr">
        <is>
          <t>نموذج Device وربطه بالمشترك، مزامنة MikroTik، صفحة /live-monitor</t>
        </is>
      </c>
    </row>
    <row r="16">
      <c r="A16" s="5" t="inlineStr">
        <is>
          <t>§3.1 الرئيسية</t>
        </is>
      </c>
      <c r="B16" s="5" t="inlineStr">
        <is>
          <t>FR-NET-02</t>
        </is>
      </c>
      <c r="C16" s="5" t="inlineStr">
        <is>
          <t>تحديث تلقائي كل 30 ثانية</t>
        </is>
      </c>
      <c r="D16" s="5" t="inlineStr">
        <is>
          <t>⬜</t>
        </is>
      </c>
      <c r="E16" s="5" t="inlineStr">
        <is>
          <t>لا يوجد</t>
        </is>
      </c>
      <c r="F16" s="5" t="inlineStr">
        <is>
          <t>polling أو WebSocket في صفحة المراقب</t>
        </is>
      </c>
    </row>
    <row r="17">
      <c r="A17" s="5" t="inlineStr">
        <is>
          <t>§3.1 الرئيسية</t>
        </is>
      </c>
      <c r="B17" s="5" t="inlineStr">
        <is>
          <t>FR-NET-03</t>
        </is>
      </c>
      <c r="C17" s="5" t="inlineStr">
        <is>
          <t>تبويبات: متصلون الآن، الفجوات، الاستخدام، الاتجاهات</t>
        </is>
      </c>
      <c r="D17" s="5" t="inlineStr">
        <is>
          <t>⬜</t>
        </is>
      </c>
      <c r="E17" s="5" t="inlineStr">
        <is>
          <t>لا يوجد</t>
        </is>
      </c>
      <c r="F17" s="5" t="inlineStr">
        <is>
          <t>تخزين جلسات وتحليل الانقطاعات والاتجاهات</t>
        </is>
      </c>
    </row>
    <row r="18">
      <c r="A18" s="5" t="inlineStr">
        <is>
          <t>§3.1 الرئيسية</t>
        </is>
      </c>
      <c r="B18" s="5" t="inlineStr">
        <is>
          <t>FR-ALR-01</t>
        </is>
      </c>
      <c r="C18" s="5" t="inlineStr">
        <is>
          <t>توليد تنبيهات آلية: استهلاك مرتفع، جهاز جديد، خطر تسرب، غير نشط</t>
        </is>
      </c>
      <c r="D18" s="5" t="inlineStr">
        <is>
          <t>⬜</t>
        </is>
      </c>
      <c r="E18" s="5" t="inlineStr">
        <is>
          <t>لا يوجد (يوجد نظام إشعارات عام owner/notifications/page.tsx لكنه ليس محرك تنبيهات)</t>
        </is>
      </c>
      <c r="F18" s="5" t="inlineStr">
        <is>
          <t>نموذج Alert + مهام مجدولة بعتبات؛ تعتمد بيانات الشبكة/الحضور</t>
        </is>
      </c>
    </row>
    <row r="19">
      <c r="A19" s="5" t="inlineStr">
        <is>
          <t>§3.1 الرئيسية</t>
        </is>
      </c>
      <c r="B19" s="5" t="inlineStr">
        <is>
          <t>FR-ALR-02</t>
        </is>
      </c>
      <c r="C19" s="5" t="inlineStr">
        <is>
          <t>تصنيف الخطورة وعدادات وترقيم 30</t>
        </is>
      </c>
      <c r="D19" s="5" t="inlineStr">
        <is>
          <t>⬜</t>
        </is>
      </c>
      <c r="E19" s="5" t="inlineStr">
        <is>
          <t>لا يوجد</t>
        </is>
      </c>
      <c r="F19" s="5" t="inlineStr">
        <is>
          <t>صفحة /alerts وعدادات (إجمالي/غير مقروءة/اليوم/حرجة)</t>
        </is>
      </c>
    </row>
    <row r="20">
      <c r="A20" s="5" t="inlineStr">
        <is>
          <t>§3.2 التجاري</t>
        </is>
      </c>
      <c r="B20" s="5" t="inlineStr">
        <is>
          <t>FR-SUB-01</t>
        </is>
      </c>
      <c r="C20" s="5" t="inlineStr">
        <is>
          <t>جدول شهري: أيام، نسبة الحضور، ساعات، GB، خطة، غير المفوتر، رصيد</t>
        </is>
      </c>
      <c r="D20" s="5" t="inlineStr">
        <is>
          <t>🟨</t>
        </is>
      </c>
      <c r="E20" s="5" t="inlineStr">
        <is>
          <t>backend/app/Services/OwnerSubscriptionService.php، frontend/src/components/features/owner/SubscriptionsTable.tsx، frontend/src/app/[locale]/(dashboard)/owner/subscriptions/page.tsx</t>
        </is>
      </c>
      <c r="F20" s="5" t="inlineStr">
        <is>
          <t>الموجود: قائمة الاشتراكات بالحالة/السعر. الناقص: الأيام والحضور والساعات وGB (حضور/شبكة)، "غير المفوتر" والرصيد (محفظة/دفتر حساب مشترك)</t>
        </is>
      </c>
    </row>
    <row r="21">
      <c r="A21" s="5" t="inlineStr">
        <is>
          <t>§3.2 التجاري</t>
        </is>
      </c>
      <c r="B21" s="5" t="inlineStr">
        <is>
          <t>FR-SUB-02</t>
        </is>
      </c>
      <c r="C21" s="5" t="inlineStr">
        <is>
          <t>بحث (اسم/هاتف/مستخدم) وترتيب بـ6 معايير</t>
        </is>
      </c>
      <c r="D21" s="5" t="inlineStr">
        <is>
          <t>🟨</t>
        </is>
      </c>
      <c r="E21" s="5" t="inlineStr">
        <is>
          <t>backend/app/Services/OwnerSubscriptionService.php (applySearch/applySort)، backend/app/Services/MemberService.php</t>
        </is>
      </c>
      <c r="F21" s="5" t="inlineStr">
        <is>
          <t>مراجعة حقول البحث (اسم مستخدم الإنترنت) ومعايير الترتيب الستة</t>
        </is>
      </c>
    </row>
    <row r="22">
      <c r="A22" s="5" t="inlineStr">
        <is>
          <t>§3.2 التجاري</t>
        </is>
      </c>
      <c r="B22" s="5" t="inlineStr">
        <is>
          <t>FR-SUB-03</t>
        </is>
      </c>
      <c r="C22" s="5" t="inlineStr">
        <is>
          <t>بطاقات: حاضرون، عليهم مبالغ، إجمالي مستحق، رصيد محافظ، اشتراكات نشطة</t>
        </is>
      </c>
      <c r="D22" s="5" t="inlineStr">
        <is>
          <t>🟨</t>
        </is>
      </c>
      <c r="E22" s="5" t="inlineStr">
        <is>
          <t>backend/app/Services/InvoiceService.php (workspaceSummary)، backend/app/Services/OwnerDashboardService.php</t>
        </is>
      </c>
      <c r="F22" s="5" t="inlineStr">
        <is>
          <t>الموجود: ملخص فواتير وعدد النشط. الناقص: الحاضرون ورصيد المحافظ (المحفظة غير موجودة)</t>
        </is>
      </c>
    </row>
    <row r="23">
      <c r="A23" s="5" t="inlineStr">
        <is>
          <t>§3.2 التجاري</t>
        </is>
      </c>
      <c r="B23" s="5" t="inlineStr">
        <is>
          <t>FR-RMB-01</t>
        </is>
      </c>
      <c r="C23" s="5" t="inlineStr">
        <is>
          <t>استقبال حجوزات غرف الاجتماعات من الموقع العام ومراجعتها (معلق/موافق/مرفوض/ملغى/قادم)</t>
        </is>
      </c>
      <c r="D23" s="5" t="inlineStr">
        <is>
          <t>🟨</t>
        </is>
      </c>
      <c r="E23" s="5" t="inlineStr">
        <is>
          <t>backend/app/Services/BookingService.php، frontend/src/app/[locale]/(dashboard)/owner/bookings/page.tsx، backend/app/Models/Resource.php (ResourceType::MeetingRoom كمخزون فقط)</t>
        </is>
      </c>
      <c r="F23" s="5" t="inlineStr">
        <is>
          <t>الموجود: طلبات عضوية (pending/approved/rejected) من مستخدم مسجّل. الناقص: حجز غرفة بتاريخ/وقت من زائر عام بدون حساب، حالتا ملغى/قادم، منع التعارض، ربط بـResource</t>
        </is>
      </c>
    </row>
    <row r="24">
      <c r="A24" s="5" t="inlineStr">
        <is>
          <t>§3.2 التجاري</t>
        </is>
      </c>
      <c r="B24" s="5" t="inlineStr">
        <is>
          <t>FR-RMB-02</t>
        </is>
      </c>
      <c r="C24" s="5" t="inlineStr">
        <is>
          <t>بحث باسم الضيف/بريده وتصفية بالتاريخ</t>
        </is>
      </c>
      <c r="D24" s="5" t="inlineStr">
        <is>
          <t>⬜</t>
        </is>
      </c>
      <c r="E24" s="5" t="inlineStr">
        <is>
          <t>لا يوجد (طلبات العضوية بلا حقول ضيف/تاريخ حجز)</t>
        </is>
      </c>
      <c r="F24" s="5" t="inlineStr">
        <is>
          <t>حقول guest_name/email/date وفلاتر البحث</t>
        </is>
      </c>
    </row>
    <row r="25">
      <c r="A25" s="5" t="inlineStr">
        <is>
          <t>§3.3 المالية</t>
        </is>
      </c>
      <c r="B25" s="5" t="inlineStr">
        <is>
          <t>FR-FIN-01</t>
        </is>
      </c>
      <c r="C25" s="5" t="inlineStr">
        <is>
          <t>قسم "ما يحتاج انتباهك" (مثل مشتركون فعالون بلا اشتراك مالي)</t>
        </is>
      </c>
      <c r="D25" s="5" t="inlineStr">
        <is>
          <t>⬜</t>
        </is>
      </c>
      <c r="E25" s="5" t="inlineStr">
        <is>
          <t>frontend/src/components/features/invoices/OwnerInvoiceAlert.tsx (تنبيه فواتير فقط)</t>
        </is>
      </c>
      <c r="F25" s="5" t="inlineStr">
        <is>
          <t>لوحة /finance وقواعد الانتباه وروابطها</t>
        </is>
      </c>
    </row>
    <row r="26">
      <c r="A26" s="5" t="inlineStr">
        <is>
          <t>§3.3 المالية</t>
        </is>
      </c>
      <c r="B26" s="5" t="inlineStr">
        <is>
          <t>FR-FIN-02</t>
        </is>
      </c>
      <c r="C26" s="5" t="inlineStr">
        <is>
          <t>أربعة أرقام: مقبوض، مصروف، نتيجة تشغيلية، مفوتر غير مدفوع؛ كل بطاقة تفتح سجلاتها</t>
        </is>
      </c>
      <c r="D26" s="5" t="inlineStr">
        <is>
          <t>🟨</t>
        </is>
      </c>
      <c r="E26" s="5" t="inlineStr">
        <is>
          <t>backend/app/Services/OwnerReportsService.php (profit_loss)، backend/app/Services/ExpenseService.php (summaryForWorkspace)، backend/app/Services/InvoiceService.php (workspaceSummary)</t>
        </is>
      </c>
      <c r="F26" s="5" t="inlineStr">
        <is>
          <t>ما تجمّع في لوحة مالية واحدة مع drill-down؛ دمج مقبوضات POS مع الفواتير</t>
        </is>
      </c>
    </row>
    <row r="27">
      <c r="A27" s="5" t="inlineStr">
        <is>
          <t>§3.3 المالية</t>
        </is>
      </c>
      <c r="B27" s="5" t="inlineStr">
        <is>
          <t>FR-FIN-03</t>
        </is>
      </c>
      <c r="C27" s="5" t="inlineStr">
        <is>
          <t>أعمار الذمم وأعلى الأرصدة + خيار إظهار تفاصيل الفوترة والضريبة</t>
        </is>
      </c>
      <c r="D27" s="5" t="inlineStr">
        <is>
          <t>🟨</t>
        </is>
      </c>
      <c r="E27" s="5" t="inlineStr">
        <is>
          <t>backend/app/Services/OwnerReportsService.php (aging)، frontend/src/components/features/owner/OwnerReportsSections.tsx</t>
        </is>
      </c>
      <c r="F27" s="5" t="inlineStr">
        <is>
          <t>أعلى الأرصدة حسب المشترك؛ تبديل إظهار الضريبة (لا ضريبة)</t>
        </is>
      </c>
    </row>
    <row r="28">
      <c r="A28" s="5" t="inlineStr">
        <is>
          <t>§3.3 المالية</t>
        </is>
      </c>
      <c r="B28" s="5" t="inlineStr">
        <is>
          <t>FIN-POS</t>
        </is>
      </c>
      <c r="C28" s="5" t="inlineStr">
        <is>
          <t>POS: اختيار مشترك F2، كتالوج أو بند يدوي، خصم وسببه، "إضافة للحساب" أو "تحصيل" (نقدي/بطاقة/تحويل/شيك)، لوحة أرقام، استخدام مقاعد</t>
        </is>
      </c>
      <c r="D28" s="5" t="inlineStr">
        <is>
          <t>🟨</t>
        </is>
      </c>
      <c r="E28" s="5" t="inlineStr">
        <is>
          <t>backend/app/Services/Pos/PosOrderService.php، frontend/src/components/features/cashier/PosTerminal.tsx، frontend/src/app/[locale]/(dashboard)/owner/pos/terminal/page.tsx</t>
        </is>
      </c>
      <c r="F28" s="5" t="inlineStr">
        <is>
          <t>الموجود: طلبات POS بكتالوج ومخزون وخصم وطريقتي دفع cash/transfer وحالات وإرجاع. الناقص: بطاقة/شيك، بند يدوي، سبب الخصم، "إضافة إلى الحساب" (دفتر مشترك)، F2، لوحة أرقام، بيع استخدام مقاعد</t>
        </is>
      </c>
    </row>
    <row r="29">
      <c r="A29" s="5" t="inlineStr">
        <is>
          <t>§3.3 المالية</t>
        </is>
      </c>
      <c r="B29" s="5" t="inlineStr">
        <is>
          <t>FIN-INV</t>
        </is>
      </c>
      <c r="C29" s="5" t="inlineStr">
        <is>
          <t>فاتورة يدوية، تجهيز جماعي بالشهر مع معاينة، مسودة→إصدار، حالات ودفع، فلتر المتأخر</t>
        </is>
      </c>
      <c r="D29" s="5" t="inlineStr">
        <is>
          <t>🟨</t>
        </is>
      </c>
      <c r="E29" s="5" t="inlineStr">
        <is>
          <t>backend/app/Services/InvoiceService.php، backend/app/Services/InvoicePdfService.php، frontend/src/components/features/invoices/IssueInvoiceModal.tsx</t>
        </is>
      </c>
      <c r="F29" s="5" t="inlineStr">
        <is>
          <t>الموجود: فاتورة يدوية (مبلغ واحد)، توليد شهري آلي (أمر مجدول)، مدفوعات جزئية، PDF، متأخر، تذكير. الناقص: بنود متعددة، مسودة/إصدار، معاينة التجهيز الجماعي، ضريبة، عدم قابلية التعديل</t>
        </is>
      </c>
    </row>
    <row r="30">
      <c r="A30" s="5" t="inlineStr">
        <is>
          <t>§3.3 المالية</t>
        </is>
      </c>
      <c r="B30" s="5" t="inlineStr">
        <is>
          <t>FIN-COL</t>
        </is>
      </c>
      <c r="C30" s="5" t="inlineStr">
        <is>
          <t>تحصيلات: أعمار الديون 0–90+، تسجيل متابعة بملاحظة، فلتر "لا أستطيع التواصل"</t>
        </is>
      </c>
      <c r="D30" s="5" t="inlineStr">
        <is>
          <t>🟨</t>
        </is>
      </c>
      <c r="E30" s="5" t="inlineStr">
        <is>
          <t>backend/app/Services/OwnerReportsService.php (aging)، backend/app/Services/InvoiceService.php (sendReminder/remindOverdue)، frontend/src/components/features/owner/OwnerReportsSections.tsx</t>
        </is>
      </c>
      <c r="F30" s="5" t="inlineStr">
        <is>
          <t>شاشة /finance/collections ونموذج متابعة (ملاحظة، نتيجة تواصل) وفلتر عدم الاستجابة</t>
        </is>
      </c>
    </row>
    <row r="31">
      <c r="A31" s="5" t="inlineStr">
        <is>
          <t>§3.3 المالية</t>
        </is>
      </c>
      <c r="B31" s="5" t="inlineStr">
        <is>
          <t>FIN-RCP</t>
        </is>
      </c>
      <c r="C31" s="5" t="inlineStr">
        <is>
          <t>سندات قبض: دفعة موزعة على فواتير، حالات الشيك، فرز بتاريخ التحصيل/الاستلام</t>
        </is>
      </c>
      <c r="D31" s="5" t="inlineStr">
        <is>
          <t>🟨</t>
        </is>
      </c>
      <c r="E31" s="5" t="inlineStr">
        <is>
          <t>backend/app/Models/InvoicePayment.php، backend/app/Services/InvoiceService.php (recordPayment، approveReceipt)، frontend/src/components/features/invoices/RecordPaymentButton.tsx</t>
        </is>
      </c>
      <c r="F31" s="5" t="inlineStr">
        <is>
          <t>الموجود: دفعات على فاتورة واحدة مع إيصال مرفوع ومراجعة. الناقص: سند قبض مستقل بترقيم، توزيع دفعة على عدة فواتير، حالات الشيك، تاريخ التحصيل مقابل الاستلام</t>
        </is>
      </c>
    </row>
    <row r="32">
      <c r="A32" s="5" t="inlineStr">
        <is>
          <t>§3.3 المالية</t>
        </is>
      </c>
      <c r="B32" s="5" t="inlineStr">
        <is>
          <t>FIN-EXP</t>
        </is>
      </c>
      <c r="C32" s="5" t="inlineStr">
        <is>
          <t>مصروفات: تصنيف، وسيلة دفع، مرجع، إلغاء</t>
        </is>
      </c>
      <c r="D32" s="5" t="inlineStr">
        <is>
          <t>🟨</t>
        </is>
      </c>
      <c r="E32" s="5" t="inlineStr">
        <is>
          <t>backend/app/Services/ExpenseService.php، backend/app/Models/Expense.php، frontend/src/components/features/owner/ExpensesTable.tsx</t>
        </is>
      </c>
      <c r="F32" s="5" t="inlineStr">
        <is>
          <t>الموجود: CRUD + تجميع بالفئة والشهر + تصدير + مخطط. الناقص: وسيلة الدفع والمرجع والإلغاء (بدل الحذف) وتصنيفات ديناميكية</t>
        </is>
      </c>
    </row>
    <row r="33">
      <c r="A33" s="5" t="inlineStr">
        <is>
          <t>§3.3 المالية</t>
        </is>
      </c>
      <c r="B33" s="5" t="inlineStr">
        <is>
          <t>FIN-CN</t>
        </is>
      </c>
      <c r="C33" s="5" t="inlineStr">
        <is>
          <t>إشعارات دائنة مرتبطة بفاتورة صادرة مع سبب</t>
        </is>
      </c>
      <c r="D33" s="5" t="inlineStr">
        <is>
          <t>⬜</t>
        </is>
      </c>
      <c r="E33" s="5" t="inlineStr">
        <is>
          <t>لا يوجد (InvoiceStatus::Cancelled موجود لكن الحذف فعلي)</t>
        </is>
      </c>
      <c r="F33" s="5" t="inlineStr">
        <is>
          <t>جدول credit_notes، ترقيم، ربط بالفاتورة، سبب، أثر على الذمم</t>
        </is>
      </c>
    </row>
    <row r="34">
      <c r="A34" s="5" t="inlineStr">
        <is>
          <t>§3.3 المالية</t>
        </is>
      </c>
      <c r="B34" s="5" t="inlineStr">
        <is>
          <t>FIN-PV</t>
        </is>
      </c>
      <c r="C34" s="5" t="inlineStr">
        <is>
          <t>مبالغ مستردة: سند صرف من حساب المشترك عند إعادة رصيد المحفظة</t>
        </is>
      </c>
      <c r="D34" s="5" t="inlineStr">
        <is>
          <t>⬜</t>
        </is>
      </c>
      <c r="E34" s="5" t="inlineStr">
        <is>
          <t>لا يوجد (إرجاع POS فقط: backend/app/Services/Pos/PosOrderService.php)</t>
        </is>
      </c>
      <c r="F34" s="5" t="inlineStr">
        <is>
          <t>سند صرف، المحفظة/الرصيد، ترقيم وتدقيق</t>
        </is>
      </c>
    </row>
    <row r="35">
      <c r="A35" s="5" t="inlineStr">
        <is>
          <t>§3.3 المالية</t>
        </is>
      </c>
      <c r="B35" s="5" t="inlineStr">
        <is>
          <t>FIN-CASH</t>
        </is>
      </c>
      <c r="C35" s="5" t="inlineStr">
        <is>
          <t>مطابقة الصندوق: حركة اليوم حسب الوسيلة وحاسبة عدّ النقد</t>
        </is>
      </c>
      <c r="D35" s="5" t="inlineStr">
        <is>
          <t>🟨</t>
        </is>
      </c>
      <c r="E35" s="5" t="inlineStr">
        <is>
          <t>backend/app/Services/Pos/PosReportService.php (byMethod)، frontend/src/components/features/pos/PosReports.tsx</t>
        </is>
      </c>
      <c r="F35" s="5" t="inlineStr">
        <is>
          <t>حركة اليوم حسب الوسيلة تغطي POS فقط. الناقص: دمج مدفوعات الفواتير والمصروفات (داخل/خارج/صافي) وحاسبة عدّ النقد، وشاشة /finance/cash-up</t>
        </is>
      </c>
    </row>
    <row r="36">
      <c r="A36" s="5" t="inlineStr">
        <is>
          <t>§3.3 المالية</t>
        </is>
      </c>
      <c r="B36" s="5" t="inlineStr">
        <is>
          <t>FIN-IMP</t>
        </is>
      </c>
      <c r="C36" s="5" t="inlineStr">
        <is>
          <t>استيراد XLSX للكتالوج/المسحوبات مع معاينة واعتماد ذري</t>
        </is>
      </c>
      <c r="D36" s="5" t="inlineStr">
        <is>
          <t>⬜</t>
        </is>
      </c>
      <c r="E36" s="5" t="inlineStr">
        <is>
          <t>لا يوجد (تصدير فقط: backend/app/Services/Owner/OwnerExportService.php)</t>
        </is>
      </c>
      <c r="F36" s="5" t="inlineStr">
        <is>
          <t>رفع وتحقق (≤2000 صف/5MB/بلا معادلات)، معاينة، transaction، منع التكرار</t>
        </is>
      </c>
    </row>
    <row r="37">
      <c r="A37" s="5" t="inlineStr">
        <is>
          <t>§3.3 المالية</t>
        </is>
      </c>
      <c r="B37" s="5" t="inlineStr">
        <is>
          <t>FIN-VAT</t>
        </is>
      </c>
      <c r="C37" s="5" t="inlineStr">
        <is>
          <t>تقرير ضريبة القيمة المضافة على أساس الاستحقاق</t>
        </is>
      </c>
      <c r="D37" s="5" t="inlineStr">
        <is>
          <t>⬜</t>
        </is>
      </c>
      <c r="E37" s="5" t="inlineStr">
        <is>
          <t>لا يوجد</t>
        </is>
      </c>
      <c r="F37" s="5" t="inlineStr">
        <is>
          <t>معدل الضريبة بالإعدادات، تجميده عند الإصدار، حقول ضريبة بالفاتورة، تقرير وتنزيل</t>
        </is>
      </c>
    </row>
    <row r="38">
      <c r="A38" s="5" t="inlineStr">
        <is>
          <t>§3.3 المالية</t>
        </is>
      </c>
      <c r="B38" s="5" t="inlineStr">
        <is>
          <t>FIN-PLN</t>
        </is>
      </c>
      <c r="C38" s="5" t="inlineStr">
        <is>
          <t>خطط: 6 طرق تسعير، سعر الزيادة، مقعد مخصص، عرض خاص، أرشفة</t>
        </is>
      </c>
      <c r="D38" s="5" t="inlineStr">
        <is>
          <t>🟨</t>
        </is>
      </c>
      <c r="E38" s="5" t="inlineStr">
        <is>
          <t>backend/app/Services/PackageService.php، backend/app/Models/InternetPackage.php، backend/app/Services/SeatTypePricingService.php</t>
        </is>
      </c>
      <c r="F38" s="5" t="inlineStr">
        <is>
          <t>الموجود: باقات إنترنت (سرعة، سعر، حد GB، فعّال) وأسعار أنواع المقاعد. الناقص: خطة مالية موحدة بطرق التسعير الستة وسعر الزيادة والعرض الخاص والأرشفة</t>
        </is>
      </c>
    </row>
    <row r="39">
      <c r="A39" s="5" t="inlineStr">
        <is>
          <t>§3.3 المالية</t>
        </is>
      </c>
      <c r="B39" s="5" t="inlineStr">
        <is>
          <t>FIN-ITM</t>
        </is>
      </c>
      <c r="C39" s="5" t="inlineStr">
        <is>
          <t>أصناف: رمز ثابت، اسم عربي/إنجليزي، تصنيف، وحدة، سعر</t>
        </is>
      </c>
      <c r="D39" s="5" t="inlineStr">
        <is>
          <t>🟨</t>
        </is>
      </c>
      <c r="E39" s="5" t="inlineStr">
        <is>
          <t>backend/app/Services/Pos/PosProductService.php، backend/app/Models/PosProduct.php، frontend/src/components/features/owner/PosManager.tsx</t>
        </is>
      </c>
      <c r="F39" s="5" t="inlineStr">
        <is>
          <t>الموجود: منتج (name، sku، category نصي، price، مخزون). الناقص: اسمان عربي/إنجليزي، وحدة، ربط بتصنيف، استخدامه في الفواتير</t>
        </is>
      </c>
    </row>
    <row r="40">
      <c r="A40" s="5" t="inlineStr">
        <is>
          <t>§3.3 المالية</t>
        </is>
      </c>
      <c r="B40" s="5" t="inlineStr">
        <is>
          <t>FIN-CAT</t>
        </is>
      </c>
      <c r="C40" s="5" t="inlineStr">
        <is>
          <t>تصنيفات مبيعات ومصروفات برمز ثابت وترتيب وأرشفة</t>
        </is>
      </c>
      <c r="D40" s="5" t="inlineStr">
        <is>
          <t>🟨</t>
        </is>
      </c>
      <c r="E40" s="5" t="inlineStr">
        <is>
          <t>backend/app/Enums/ExpenseCategory.php (7 قيم ثابتة)، backend/app/Models/PosProduct.php (category نص حر)</t>
        </is>
      </c>
      <c r="F40" s="5" t="inlineStr">
        <is>
          <t>جدول تصنيفات ديناميكي (مبيعات/مصروفات) برمز وترتيب وأرشفة</t>
        </is>
      </c>
    </row>
    <row r="41">
      <c r="A41" s="5" t="inlineStr">
        <is>
          <t>§3.3 المالية</t>
        </is>
      </c>
      <c r="B41" s="5" t="inlineStr">
        <is>
          <t>FIN-AH</t>
        </is>
      </c>
      <c r="C41" s="5" t="inlineStr">
        <is>
          <t>ساعات إضافية: قواعد احتساب بعد الدوام ومعاينة (متوقفة حاليًا)</t>
        </is>
      </c>
      <c r="D41" s="5" t="inlineStr">
        <is>
          <t>⬜</t>
        </is>
      </c>
      <c r="E41" s="5" t="inlineStr">
        <is>
          <t>لا يوجد (working_hours في backend/app/Models/Workspace.php للعرض فقط)</t>
        </is>
      </c>
      <c r="F41" s="5" t="inlineStr">
        <is>
          <t>قواعد احتساب ومعاينة شهرية؛ تتطلب بيانات حضور؛ متوقفة في المرجع فيمكن تأجيلها</t>
        </is>
      </c>
    </row>
    <row r="42">
      <c r="A42" s="5" t="inlineStr">
        <is>
          <t>§3.3 المالية</t>
        </is>
      </c>
      <c r="B42" s="5" t="inlineStr">
        <is>
          <t>FIN-SEAT</t>
        </is>
      </c>
      <c r="C42" s="5" t="inlineStr">
        <is>
          <t>مقاعد: إشغال اليوم، إيراد المخصصة، حالات (متاح/مخصص/محجوز لاحقًا/خارج الخدمة)، تحرير المنتهية</t>
        </is>
      </c>
      <c r="D42" s="5" t="inlineStr">
        <is>
          <t>🟨</t>
        </is>
      </c>
      <c r="E42" s="5" t="inlineStr">
        <is>
          <t>backend/app/Services/SeatService.php، backend/app/Enums/SeatStatus.php، frontend/src/components/features/owner/SeatBoard.tsx</t>
        </is>
      </c>
      <c r="F42" s="5" t="inlineStr">
        <is>
          <t>الموجود: خريطة مقاعد وإسناد/إلغاء وحالات available/occupied/reserved/maintenance. الناقص: إيراد المقاعد المخصصة، "محجوز لاحقًا" بتاريخ، تحرير تلقائي للمنتهية</t>
        </is>
      </c>
    </row>
    <row r="43">
      <c r="A43" s="5" t="inlineStr">
        <is>
          <t>§3.3 المالية</t>
        </is>
      </c>
      <c r="B43" s="5" t="inlineStr">
        <is>
          <t>FIN-ORG</t>
        </is>
      </c>
      <c r="C43" s="5" t="inlineStr">
        <is>
          <t>مؤسسات: شركة تدفع عن أفرادها بفاتورة موحدة مع رقم ضريبي</t>
        </is>
      </c>
      <c r="D43" s="5" t="inlineStr">
        <is>
          <t>⬜</t>
        </is>
      </c>
      <c r="E43" s="5" t="inlineStr">
        <is>
          <t>لا يوجد</t>
        </is>
      </c>
      <c r="F43" s="5" t="inlineStr">
        <is>
          <t>جدول organizations وربط الأعضاء وقواعد تغطية وفاتورة موحدة وقيمة ضريبية</t>
        </is>
      </c>
    </row>
    <row r="44">
      <c r="A44" s="5" t="inlineStr">
        <is>
          <t>§3.3 المالية</t>
        </is>
      </c>
      <c r="B44" s="5" t="inlineStr">
        <is>
          <t>FIN-ACT</t>
        </is>
      </c>
      <c r="C44" s="5" t="inlineStr">
        <is>
          <t>سجل النشاط المالي (17 إجراء: من/متى/لماذا)</t>
        </is>
      </c>
      <c r="D44" s="5" t="inlineStr">
        <is>
          <t>⬜</t>
        </is>
      </c>
      <c r="E44" s="5" t="inlineStr">
        <is>
          <t>لا يوجد</t>
        </is>
      </c>
      <c r="F44" s="5" t="inlineStr">
        <is>
          <t>جدول audit للإجراءات المالية ومراقب (observer/service) وشاشة عرض بفلاتر</t>
        </is>
      </c>
    </row>
    <row r="45">
      <c r="A45" s="5" t="inlineStr">
        <is>
          <t>§3.3 المالية</t>
        </is>
      </c>
      <c r="B45" s="5" t="inlineStr">
        <is>
          <t>BR-FIN-01</t>
        </is>
      </c>
      <c r="C45" s="5" t="inlineStr">
        <is>
          <t>الفاتورة الصادرة لا تُعدّل؛ التصحيح بإشعار دائن أو إلغاء</t>
        </is>
      </c>
      <c r="D45" s="5" t="inlineStr">
        <is>
          <t>🟨</t>
        </is>
      </c>
      <c r="E45" s="5" t="inlineStr">
        <is>
          <t>backend/app/Services/InvoiceService.php (delete حذف فعلي)، backend/app/Http/Controllers/InvoiceController.php</t>
        </is>
      </c>
      <c r="F45" s="5" t="inlineStr">
        <is>
          <t>حذف فعلي مسموح حاليًا (يخالف القاعدة). المطلوب: إلغاء منطقي + منع التعديل بعد الإصدار + إشعار دائن</t>
        </is>
      </c>
    </row>
    <row r="46">
      <c r="A46" s="5" t="inlineStr">
        <is>
          <t>§3.3 المالية</t>
        </is>
      </c>
      <c r="B46" s="5" t="inlineStr">
        <is>
          <t>BR-FIN-02</t>
        </is>
      </c>
      <c r="C46" s="5" t="inlineStr">
        <is>
          <t>النقد وحده يدخل الصندوق، والوسائل الأخرى للمطابقة فقط</t>
        </is>
      </c>
      <c r="D46" s="5" t="inlineStr">
        <is>
          <t>⬜</t>
        </is>
      </c>
      <c r="E46" s="5" t="inlineStr">
        <is>
          <t>backend/app/Enums/PaymentMethod.php (cash/transfer) بلا مفهوم صندوق</t>
        </is>
      </c>
      <c r="F46" s="5" t="inlineStr">
        <is>
          <t>تمييز مدفوعات النقد في cash-up وإضافة وسائل بطاقة/شيك</t>
        </is>
      </c>
    </row>
    <row r="47">
      <c r="A47" s="5" t="inlineStr">
        <is>
          <t>§3.3 المالية</t>
        </is>
      </c>
      <c r="B47" s="5" t="inlineStr">
        <is>
          <t>BR-FIN-03</t>
        </is>
      </c>
      <c r="C47" s="5" t="inlineStr">
        <is>
          <t>لا ضريبة ما لم يُحدد معدل في الإعدادات ← التشغيل</t>
        </is>
      </c>
      <c r="D47" s="5" t="inlineStr">
        <is>
          <t>⬜</t>
        </is>
      </c>
      <c r="E47" s="5" t="inlineStr">
        <is>
          <t>لا يوجد (لا ضريبة في النظام)</t>
        </is>
      </c>
      <c r="F47" s="5" t="inlineStr">
        <is>
          <t>حقل معدل الضريبة بإعدادات التشغيل وتطبيقه عند الإصدار فقط</t>
        </is>
      </c>
    </row>
    <row r="48">
      <c r="A48" s="5" t="inlineStr">
        <is>
          <t>§3.3 المالية</t>
        </is>
      </c>
      <c r="B48" s="5" t="inlineStr">
        <is>
          <t>BR-FIN-04</t>
        </is>
      </c>
      <c r="C48" s="5" t="inlineStr">
        <is>
          <t>المقعد المخصص يتطلب خطة شهرية أو أسبوعية أو باقة</t>
        </is>
      </c>
      <c r="D48" s="5" t="inlineStr">
        <is>
          <t>🟨</t>
        </is>
      </c>
      <c r="E48" s="5" t="inlineStr">
        <is>
          <t>backend/app/Services/SeatService.php (assign يتطلب اشتراكًا نشطًا فقط)</t>
        </is>
      </c>
      <c r="F48" s="5" t="inlineStr">
        <is>
          <t>التحقق من نوع الخطة (شهري/أسبوعي/باقة) عند الإسناد</t>
        </is>
      </c>
    </row>
    <row r="49">
      <c r="A49" s="5" t="inlineStr">
        <is>
          <t>§3.6 الأماكن</t>
        </is>
      </c>
      <c r="B49" s="5" t="inlineStr">
        <is>
          <t>FR-STN-01</t>
        </is>
      </c>
      <c r="C49" s="5" t="inlineStr">
        <is>
          <t>المكاتب: إضافة مفرد أو مجمّع (بدء، عدد، بادئة)، نوع، منطقة، سعة، خصوصية، تبعية؛ غرف الاجتماعات للحجز العام</t>
        </is>
      </c>
      <c r="D49" s="5" t="inlineStr">
        <is>
          <t>🟨</t>
        </is>
      </c>
      <c r="E49" s="5" t="inlineStr">
        <is>
          <t>backend/app/Services/SeatService.php، backend/app/Services/ResourceService.php، frontend/src/components/features/owner/SeatBoard.tsx</t>
        </is>
      </c>
      <c r="F49" s="5" t="inlineStr">
        <is>
          <t>الموجود: مقاعد بأنواع fixed/flexible/private_office وموارد (meeting_room…) بكمية. الناقص: إضافة مجمّعة برقم بدء وبادئة، المنطقة، السعة/الخصوصية لكل مكتب، التبعية، عرض الغرف للحجز العام</t>
        </is>
      </c>
    </row>
    <row r="50">
      <c r="A50" s="5" t="inlineStr">
        <is>
          <t>§3.6 الأماكن</t>
        </is>
      </c>
      <c r="B50" s="5" t="inlineStr">
        <is>
          <t>FR-STN-02</t>
        </is>
      </c>
      <c r="C50" s="5" t="inlineStr">
        <is>
          <t>تبويبات: المخزون، الآن، الشهر، الفروع (تعدد الفروع)</t>
        </is>
      </c>
      <c r="D50" s="5" t="inlineStr">
        <is>
          <t>⬜</t>
        </is>
      </c>
      <c r="E50" s="5" t="inlineStr">
        <is>
          <t>لا يوجد (Workspace واحدة لكل مالك، لا فروع/zones)</t>
        </is>
      </c>
      <c r="F50" s="5" t="inlineStr">
        <is>
          <t>نموذج branches/zones، تبويبات العرض، ونطاق الاستعلامات بالفرع</t>
        </is>
      </c>
    </row>
    <row r="51">
      <c r="A51" s="5" t="inlineStr">
        <is>
          <t>§3.7 الإعدادات</t>
        </is>
      </c>
      <c r="B51" s="5" t="inlineStr">
        <is>
          <t>SET-GEN</t>
        </is>
      </c>
      <c r="C51" s="5" t="inlineStr">
        <is>
          <t>عام: اسم، وصف، slug ثابت، تواصل، بنك وIBAN مجمّد، منطقة زمنية وعملة، بيانات واي فاي</t>
        </is>
      </c>
      <c r="D51" s="5" t="inlineStr">
        <is>
          <t>🟨</t>
        </is>
      </c>
      <c r="E51" s="5" t="inlineStr">
        <is>
          <t>backend/app/Services/WorkspaceService.php (updateSettings)، backend/app/Http/Requests/Workspace/UpdateWorkspaceRequest.php، frontend/src/components/features/owner/SettingsTabs.tsx</t>
        </is>
      </c>
      <c r="F51" s="5" t="inlineStr">
        <is>
          <t>الموجود: اسم، وصف، عنوان، مدينة، هاتف، موقع، شعار/صور، مرافق. الناقص: slug، بيانات البنك/IBAN، المنطقة الزمنية والعملة، بيانات الواي فاي، البريد/التواصل</t>
        </is>
      </c>
    </row>
    <row r="52">
      <c r="A52" s="5" t="inlineStr">
        <is>
          <t>§3.7 الإعدادات</t>
        </is>
      </c>
      <c r="B52" s="5" t="inlineStr">
        <is>
          <t>SET-OPS</t>
        </is>
      </c>
      <c r="C52" s="5" t="inlineStr">
        <is>
          <t>التشغيل: سعة، وضع الجلوس، ساعات وأيام العمل، أسعار الأنواع، الضريبة؛ الحفظ "يُرسل للموافقة"</t>
        </is>
      </c>
      <c r="D52" s="5" t="inlineStr">
        <is>
          <t>🟨</t>
        </is>
      </c>
      <c r="E52" s="5" t="inlineStr">
        <is>
          <t>backend/app/Services/SeatTypePricingService.php، backend/app/Services/WorkspaceService.php (updateSeatTypes)، frontend/src/components/features/owner/SettingsTabs.tsx (تبويبا seatTypes وhours)</t>
        </is>
      </c>
      <c r="F52" s="5" t="inlineStr">
        <is>
          <t>الموجود: أسعار أنواع المقاعد وسعتها وساعات العمل (حفظ مباشر). الناقص: وضع الجلوس ثابت/مرن، الضريبة، سير موافقة السوبر أدمن على التغيير، العطل</t>
        </is>
      </c>
    </row>
    <row r="53">
      <c r="A53" s="5" t="inlineStr">
        <is>
          <t>§3.7 الإعدادات</t>
        </is>
      </c>
      <c r="B53" s="5" t="inlineStr">
        <is>
          <t>SET-DNS</t>
        </is>
      </c>
      <c r="C53" s="5" t="inlineStr">
        <is>
          <t>النطاق وDNS: رابط اللوحة والموقع العام، طلب نطاق مخصص</t>
        </is>
      </c>
      <c r="D53" s="5" t="inlineStr">
        <is>
          <t>⬜</t>
        </is>
      </c>
      <c r="E53" s="5" t="inlineStr">
        <is>
          <t>لا يوجد</t>
        </is>
      </c>
      <c r="F53" s="5" t="inlineStr">
        <is>
          <t>حقول النطاق وطلب النطاق المخصص وموافقة الأدمن</t>
        </is>
      </c>
    </row>
    <row r="54">
      <c r="A54" s="5" t="inlineStr">
        <is>
          <t>§3.7 الإعدادات</t>
        </is>
      </c>
      <c r="B54" s="5" t="inlineStr">
        <is>
          <t>SET-API</t>
        </is>
      </c>
      <c r="C54" s="5" t="inlineStr">
        <is>
          <t>API والتكامل: حالة MikroTik، رمز المساحة، endpoint، إعادة إنشاء مفتاح API، حالة الخطة، فحص وتشخيص</t>
        </is>
      </c>
      <c r="D54" s="5" t="inlineStr">
        <is>
          <t>⬜</t>
        </is>
      </c>
      <c r="E54" s="5" t="inlineStr">
        <is>
          <t>لا يوجد للمالك؛ الأقرب backend/app/Models/PartnerClient.php (مفاتيح شريك UR، ليست للمساحة)</t>
        </is>
      </c>
      <c r="F54" s="5" t="inlineStr">
        <is>
          <t>مفتاح API ورمز لكل مساحة وإعادة توليده، حالة المزامنة، مركز تشخيص</t>
        </is>
      </c>
    </row>
    <row r="55">
      <c r="A55" s="5" t="inlineStr">
        <is>
          <t>§3.7 الإعدادات</t>
        </is>
      </c>
      <c r="B55" s="5" t="inlineStr">
        <is>
          <t>SET-DNG</t>
        </is>
      </c>
      <c r="C55" s="5" t="inlineStr">
        <is>
          <t>منطقة الخطر: إعادة تعيين المساحة (حذف مشتركين/أجهزة/عقود/إحصاءات…)</t>
        </is>
      </c>
      <c r="D55" s="5" t="inlineStr">
        <is>
          <t>⬜</t>
        </is>
      </c>
      <c r="E55" s="5" t="inlineStr">
        <is>
          <t>لا يوجد</t>
        </is>
      </c>
      <c r="F55" s="5" t="inlineStr">
        <is>
          <t>عملية إعادة تعيين بتأكيد وtransaction مع إبقاء الهوية والمالك وتوليد مفتاح API جديد</t>
        </is>
      </c>
    </row>
    <row r="56">
      <c r="A56" s="5" t="inlineStr">
        <is>
          <t>§3.4 — مركز المشتركين (FR-MEM)</t>
        </is>
      </c>
      <c r="B56" s="5" t="inlineStr">
        <is>
          <t>FR-MEM-01</t>
        </is>
      </c>
      <c r="C56" s="5" t="inlineStr">
        <is>
          <t>تبويبات مركز المشتركين (اليوم، المشتركون، أسبوعي، شهري، تقويم، عقود، زوار، تنبيهات، ملفات، إدارة جماعية)</t>
        </is>
      </c>
      <c r="D56" s="5" t="inlineStr">
        <is>
          <t>🟨</t>
        </is>
      </c>
      <c r="E56" s="5" t="inlineStr">
        <is>
          <t>frontend/src/app/[locale]/(dashboard)/owner/members/page.tsx، frontend/src/components/features/owner/MembersTable.tsx</t>
        </is>
      </c>
      <c r="F56" s="5" t="inlineStr">
        <is>
          <t>صفحة قائمة أعضاء واحدة فقط؛ كل التبويبات الباقية جديدة</t>
        </is>
      </c>
    </row>
    <row r="57">
      <c r="A57" s="5" t="inlineStr">
        <is>
          <t>§3.4 — مركز المشتركين (FR-MEM)</t>
        </is>
      </c>
      <c r="B57" s="5" t="inlineStr">
        <is>
          <t>FR-MEM-02</t>
        </is>
      </c>
      <c r="C57" s="5" t="inlineStr">
        <is>
          <t>تبويب «اليوم»: سعة 640 ساعة/يوم، متعاقد مقابل فعلي، تحميل بالساعة بعتبات 70%/90%</t>
        </is>
      </c>
      <c r="D57" s="5" t="inlineStr">
        <is>
          <t>⬜</t>
        </is>
      </c>
      <c r="E57" s="5" t="inlineStr">
        <is>
          <t>backend/app/Services/OwnerDashboardService.php (نسبة إشغال مقاعد فقط)</t>
        </is>
      </c>
      <c r="F57" s="5" t="inlineStr">
        <is>
          <t>لا ساعات ولا حضور فعلي ولا سعة بالساعات؛ يحتاج بيانات جلسات</t>
        </is>
      </c>
    </row>
    <row r="58">
      <c r="A58" s="5" t="inlineStr">
        <is>
          <t>§3.4 — مركز المشتركين (FR-MEM)</t>
        </is>
      </c>
      <c r="B58" s="5" t="inlineStr">
        <is>
          <t>FR-MEM-03</t>
        </is>
      </c>
      <c r="C58" s="5" t="inlineStr">
        <is>
          <t>العقود بآلة حالات (مسودة/نشط/معلق/منتهي/ملغى)، تمديد وتجديد جماعي، تنبيه 14 يومًا</t>
        </is>
      </c>
      <c r="D58" s="5" t="inlineStr">
        <is>
          <t>🟨</t>
        </is>
      </c>
      <c r="E58" s="5" t="inlineStr">
        <is>
          <t>backend/app/Enums/SubscriptionStatus.php، backend/app/Services/OwnerSubscriptionService.php، backend/app/Console/Commands/NotifyExpiringSubscriptions.php</t>
        </is>
      </c>
      <c r="F58" s="5" t="inlineStr">
        <is>
          <t>الحالات الحالية: pending/active/suspended/expired/cancelled دون مسودة ولا انتقالات محكومة؛ تجديد فردي فقط (لا جماعي)؛ تنبيه 3 أيام بدل 14؛ لا أيام سماح ولا تجديد تلقائي ولا كيان Contract</t>
        </is>
      </c>
    </row>
    <row r="59">
      <c r="A59" s="5" t="inlineStr">
        <is>
          <t>§3.4 — مركز المشتركين (FR-MEM)</t>
        </is>
      </c>
      <c r="B59" s="5" t="inlineStr">
        <is>
          <t>FR-MEM-04</t>
        </is>
      </c>
      <c r="C59" s="5" t="inlineStr">
        <is>
          <t>زوار مباشرون بلا اشتراك + فجوة إيراد واقتراح نوع</t>
        </is>
      </c>
      <c r="D59" s="5" t="inlineStr">
        <is>
          <t>⬜</t>
        </is>
      </c>
      <c r="E59" s="5" t="inlineStr">
        <is>
          <t>—</t>
        </is>
      </c>
      <c r="F59" s="5" t="inlineStr">
        <is>
          <t>يحتاج لقطات أجهزة/حضور الراوتر</t>
        </is>
      </c>
    </row>
    <row r="60">
      <c r="A60" s="5" t="inlineStr">
        <is>
          <t>§3.4 — مركز المشتركين (FR-MEM)</t>
        </is>
      </c>
      <c r="B60" s="5" t="inlineStr">
        <is>
          <t>FR-MEM-05</t>
        </is>
      </c>
      <c r="C60" s="5" t="inlineStr">
        <is>
          <t>تنبيهات مختصة (عقود تنتهي، غير نشط 30+، انخفاض ولاء، عمل إضافي، زوار متكررون، امتلاء)</t>
        </is>
      </c>
      <c r="D60" s="5" t="inlineStr">
        <is>
          <t>🟨</t>
        </is>
      </c>
      <c r="E60" s="5" t="inlineStr">
        <is>
          <t>backend/app/Notifications/SubscriptionExpiringNotification.php، backend/app/Console/Commands/NotifyExpiringSubscriptions.php، backend/app/Notifications/InvoiceOverdueNotification.php</t>
        </is>
      </c>
      <c r="F60" s="5" t="inlineStr">
        <is>
          <t>إشعار انتهاء اشتراك وفواتير متأخرة فقط؛ لا محرك قواعد (Alert Rule) ولا عتبات ولا تهدئة ولا بقية الأنواع</t>
        </is>
      </c>
    </row>
    <row r="61">
      <c r="A61" s="5" t="inlineStr">
        <is>
          <t>§3.4 — مركز المشتركين (FR-MEM)</t>
        </is>
      </c>
      <c r="B61" s="5" t="inlineStr">
        <is>
          <t>FR-MEM-06</t>
        </is>
      </c>
      <c r="C61" s="5" t="inlineStr">
        <is>
          <t>معالج الملف: جنس، تعليم (10)، تخصص (35)، حالة وظيفية، اسم MikroTik</t>
        </is>
      </c>
      <c r="D61" s="5" t="inlineStr">
        <is>
          <t>🟨</t>
        </is>
      </c>
      <c r="E61" s="5" t="inlineStr">
        <is>
          <t>backend/app/Models/User.php (gender, specialty, bio)، backend/app/Enums/Gender.php، backend/app/Http/Controllers/ProfileController.php</t>
        </is>
      </c>
      <c r="F61" s="5" t="inlineStr">
        <is>
          <t>الجنس والتخصص (نص حر) فقط؛ لا مستوى تعليمي ولا حالة وظيفية ولا قوائم مقيدة ولا اسم مستخدم MikroTik (الأقرب internet_username في Subscription)</t>
        </is>
      </c>
    </row>
    <row r="62">
      <c r="A62" s="5" t="inlineStr">
        <is>
          <t>§3.4 — مركز المشتركين (FR-MEM)</t>
        </is>
      </c>
      <c r="B62" s="5" t="inlineStr">
        <is>
          <t>FR-MEM-07</t>
        </is>
      </c>
      <c r="C62" s="5" t="inlineStr">
        <is>
          <t>إدارة جماعية + اكتشاف تلقائي ذكي لنوع الاشتراك + تصدير CSV</t>
        </is>
      </c>
      <c r="D62" s="5" t="inlineStr">
        <is>
          <t>🟨</t>
        </is>
      </c>
      <c r="E62" s="5" t="inlineStr">
        <is>
          <t>backend/app/Services/Owner/OwnerExportService.php، backend/routes/api/owner-members.php</t>
        </is>
      </c>
      <c r="F62" s="5" t="inlineStr">
        <is>
          <t>تصدير CSV للأعضاء موجود؛ لا عمليات جماعية ولا اكتشاف ذكي</t>
        </is>
      </c>
    </row>
    <row r="63">
      <c r="A63" s="5" t="inlineStr">
        <is>
          <t>§3.4 — مركز المشتركين (FR-MEM)</t>
        </is>
      </c>
      <c r="B63" s="5" t="inlineStr">
        <is>
          <t>FR-MEM-08</t>
        </is>
      </c>
      <c r="C63" s="5" t="inlineStr">
        <is>
          <t>ملف المشترك: نظرة عامة، اشتراك، درجات، نشاط، مقارنة أقران، ولاء/قوة، تقويم نشاط، أجهزة</t>
        </is>
      </c>
      <c r="D63" s="5" t="inlineStr">
        <is>
          <t>🟨</t>
        </is>
      </c>
      <c r="E63" s="5" t="inlineStr">
        <is>
          <t>backend/app/Services/MemberService.php (memberDetail)، frontend/src/components/features/owner/MemberDrawer.tsx، frontend/src/components/features/owner/MemberAnalytics.tsx</t>
        </is>
      </c>
      <c r="F63" s="5" t="inlineStr">
        <is>
          <t>تفاصيل مستخدم/اشتراك/مقعد/فواتير موجودة؛ لا درجات ولاء/قوة ولا أقران ولا تقويم نشاط ولا أجهزة</t>
        </is>
      </c>
    </row>
    <row r="64">
      <c r="A64" s="5" t="inlineStr">
        <is>
          <t>§3.4 — مركز المشتركين (FR-MEM)</t>
        </is>
      </c>
      <c r="B64" s="5" t="inlineStr">
        <is>
          <t>FR-MEM-09</t>
        </is>
      </c>
      <c r="C64" s="5" t="inlineStr">
        <is>
          <t>القائمة الشهرية (Roster): تعبئة/نسخ الشهر الماضي وحساب الساعات المحجوزة من السعة</t>
        </is>
      </c>
      <c r="D64" s="5" t="inlineStr">
        <is>
          <t>⬜</t>
        </is>
      </c>
      <c r="E64" s="5" t="inlineStr">
        <is>
          <t>—</t>
        </is>
      </c>
      <c r="F64" s="5" t="inlineStr">
        <is>
          <t>كيان Roster Entry ووظائف النسخ والحساب كلها جديدة</t>
        </is>
      </c>
    </row>
    <row r="65">
      <c r="A65" s="5" t="inlineStr">
        <is>
          <t>§3.4 — طلبات الاشتراك (FR-REQ)</t>
        </is>
      </c>
      <c r="B65" s="5" t="inlineStr">
        <is>
          <t>FR-REQ-01</t>
        </is>
      </c>
      <c r="C65" s="5" t="inlineStr">
        <is>
          <t>مراجعة طلبات العضوية من الموقع العام بحالات معلق/موافق/مرفوض/متوفر/ملغى</t>
        </is>
      </c>
      <c r="D65" s="5" t="inlineStr">
        <is>
          <t>🟨</t>
        </is>
      </c>
      <c r="E65" s="5" t="inlineStr">
        <is>
          <t>backend/app/Services/BookingService.php، backend/app/Http/Controllers/BookingRequestController.php، frontend/src/components/features/owner/BookingsManager.tsx</t>
        </is>
      </c>
      <c r="F65" s="5" t="inlineStr">
        <is>
          <t>الحالات: pending/approved/rejected فقط (BookingStatus)؛ مقدّم الطلب يجب أن يكون فريلانسر مسجّل الدخول (لا نموذج عام للزوار)؛ لا «متوفر» ولا «ملغى»؛ الموافقة تنشئ اشتراك + فاتورة ويُبلَّغ Webhook</t>
        </is>
      </c>
    </row>
    <row r="66">
      <c r="A66" s="5" t="inlineStr">
        <is>
          <t>§3.4 — مركز الحجوزات (FR-BKG)</t>
        </is>
      </c>
      <c r="B66" s="5" t="inlineStr">
        <is>
          <t>FR-BKG-01</t>
        </is>
      </c>
      <c r="C66" s="5" t="inlineStr">
        <is>
          <t>عروض: خط زمني، تقويم، عقود، حضور</t>
        </is>
      </c>
      <c r="D66" s="5" t="inlineStr">
        <is>
          <t>⬜</t>
        </is>
      </c>
      <c r="E66" s="5" t="inlineStr">
        <is>
          <t>frontend/src/components/features/owner/SeatBoard.tsx (لوحة مقاعد فقط)</t>
        </is>
      </c>
      <c r="F66" s="5" t="inlineStr">
        <is>
          <t>لا Booking Hub ولا خط زمني ولا تقويم</t>
        </is>
      </c>
    </row>
    <row r="67">
      <c r="A67" s="5" t="inlineStr">
        <is>
          <t>§3.4 — مركز الحجوزات (FR-BKG)</t>
        </is>
      </c>
      <c r="B67" s="5" t="inlineStr">
        <is>
          <t>FR-BKG-02</t>
        </is>
      </c>
      <c r="C67" s="5" t="inlineStr">
        <is>
          <t>حجز جديد بمشترك/نوع/مكتب/فترة وساعات 08:00–15:00</t>
        </is>
      </c>
      <c r="D67" s="5" t="inlineStr">
        <is>
          <t>⬜</t>
        </is>
      </c>
      <c r="E67" s="5" t="inlineStr">
        <is>
          <t>backend/app/Services/SeatService.php (إسناد مقعد لعضو)</t>
        </is>
      </c>
      <c r="F67" s="5" t="inlineStr">
        <is>
          <t>لا حجز بفترات/ساعات يومية؛ فقط إسناد مقعد لاشتراك</t>
        </is>
      </c>
    </row>
    <row r="68">
      <c r="A68" s="5" t="inlineStr">
        <is>
          <t>§3.4 — مركز الحجوزات (FR-BKG)</t>
        </is>
      </c>
      <c r="B68" s="5" t="inlineStr">
        <is>
          <t>FR-BKG-03</t>
        </is>
      </c>
      <c r="C68" s="5" t="inlineStr">
        <is>
          <t>تأكيد الحضور (مؤكد/متغيب/جزئي/انتظار) يدوي أو تلقائي مع تراجع</t>
        </is>
      </c>
      <c r="D68" s="5" t="inlineStr">
        <is>
          <t>⬜</t>
        </is>
      </c>
      <c r="E68" s="5" t="inlineStr">
        <is>
          <t>—</t>
        </is>
      </c>
      <c r="F68" s="5" t="inlineStr">
        <is>
          <t>لا حضور إطلاقًا</t>
        </is>
      </c>
    </row>
    <row r="69">
      <c r="A69" s="5" t="inlineStr">
        <is>
          <t>§3.4 — مركز الحجوزات (FR-BKG)</t>
        </is>
      </c>
      <c r="B69" s="5" t="inlineStr">
        <is>
          <t>FR-BKG-04</t>
        </is>
      </c>
      <c r="C69" s="5" t="inlineStr">
        <is>
          <t>عقد جديد (مدة بالشهور، سماح، تجديد تلقائي) + إنشاء حجز الشهر الحالي</t>
        </is>
      </c>
      <c r="D69" s="5" t="inlineStr">
        <is>
          <t>🟨</t>
        </is>
      </c>
      <c r="E69" s="5" t="inlineStr">
        <is>
          <t>backend/app/Services/BookingService.php (approve ينشئ اشتراكًا)، backend/app/Models/Subscription.php</t>
        </is>
      </c>
      <c r="F69" s="5" t="inlineStr">
        <is>
          <t>اشتراك start/end فقط؛ لا مدة بالشهور ولا سماح ولا تجديد تلقائي ولا حجز شهري</t>
        </is>
      </c>
    </row>
    <row r="70">
      <c r="A70" s="5" t="inlineStr">
        <is>
          <t>§3.4 — مركز الحجوزات (FR-BKG)</t>
        </is>
      </c>
      <c r="B70" s="5" t="inlineStr">
        <is>
          <t>FR-BKG-05</t>
        </is>
      </c>
      <c r="C70" s="5" t="inlineStr">
        <is>
          <t>تجاوز الساعات المعتمدة يتطلب سببًا إلزاميًا</t>
        </is>
      </c>
      <c r="D70" s="5" t="inlineStr">
        <is>
          <t>⬜</t>
        </is>
      </c>
      <c r="E70" s="5" t="inlineStr">
        <is>
          <t>—</t>
        </is>
      </c>
      <c r="F70" s="5" t="inlineStr">
        <is>
          <t>لا مفهوم ساعات معتمدة</t>
        </is>
      </c>
    </row>
    <row r="71">
      <c r="A71" s="5" t="inlineStr">
        <is>
          <t>§3.4 — مركز الحجوزات (FR-BKG)</t>
        </is>
      </c>
      <c r="B71" s="5" t="inlineStr">
        <is>
          <t>FR-BKG-06</t>
        </is>
      </c>
      <c r="C71" s="5" t="inlineStr">
        <is>
          <t>ملخص حضور شهري + مزامنة AUTO مع الراوتر</t>
        </is>
      </c>
      <c r="D71" s="5" t="inlineStr">
        <is>
          <t>⬜</t>
        </is>
      </c>
      <c r="E71" s="5" t="inlineStr">
        <is>
          <t>backend/app/Services/InternetAccessService.php (يولّد بيانات دخول إنترنت فقط، بلا اتصال بالراوتر)</t>
        </is>
      </c>
      <c r="F71" s="5" t="inlineStr">
        <is>
          <t>لا تكامل MikroTik ولا قراءة جلسات</t>
        </is>
      </c>
    </row>
    <row r="72">
      <c r="A72" s="5" t="inlineStr">
        <is>
          <t>§3.4 — GSG UR Tracker (FR-TRK)</t>
        </is>
      </c>
      <c r="B72" s="5" t="inlineStr">
        <is>
          <t>FR-TRK-01</t>
        </is>
      </c>
      <c r="C72" s="5" t="inlineStr">
        <is>
          <t>حاسبة تدقيق UR بأربع خطوات</t>
        </is>
      </c>
      <c r="D72" s="5" t="inlineStr">
        <is>
          <t>⬜</t>
        </is>
      </c>
      <c r="E72" s="5" t="inlineStr">
        <is>
          <t>—</t>
        </is>
      </c>
      <c r="F72" s="5" t="inlineStr">
        <is>
          <t>جديد كليًا</t>
        </is>
      </c>
    </row>
    <row r="73">
      <c r="A73" s="5" t="inlineStr">
        <is>
          <t>§3.4 — GSG UR Tracker (FR-TRK)</t>
        </is>
      </c>
      <c r="B73" s="5" t="inlineStr">
        <is>
          <t>FR-TRK-02</t>
        </is>
      </c>
      <c r="C73" s="5" t="inlineStr">
        <is>
          <t>أنماط الحضور (Active Actual, Day Span, Hour Bucket, Half-Hour)</t>
        </is>
      </c>
      <c r="D73" s="5" t="inlineStr">
        <is>
          <t>⬜</t>
        </is>
      </c>
      <c r="E73" s="5" t="inlineStr">
        <is>
          <t>—</t>
        </is>
      </c>
      <c r="F73" s="5" t="inlineStr">
        <is>
          <t>جديد؛ يعتمد على بيانات جلسات</t>
        </is>
      </c>
    </row>
    <row r="74">
      <c r="A74" s="5" t="inlineStr">
        <is>
          <t>§3.4 — GSG UR Tracker (FR-TRK)</t>
        </is>
      </c>
      <c r="B74" s="5" t="inlineStr">
        <is>
          <t>FR-TRK-03</t>
        </is>
      </c>
      <c r="C74" s="5" t="inlineStr">
        <is>
          <t>سلسلة AR→C→max→TypeW→ΣH/Tmax وقراءات RAW/UTD/EXPECTED/FINAL</t>
        </is>
      </c>
      <c r="D74" s="5" t="inlineStr">
        <is>
          <t>⬜</t>
        </is>
      </c>
      <c r="E74" s="5" t="inlineStr">
        <is>
          <t>—</t>
        </is>
      </c>
      <c r="F74" s="5" t="inlineStr">
        <is>
          <t>محرك صيغة ومعلمات (32) جديد</t>
        </is>
      </c>
    </row>
    <row r="75">
      <c r="A75" s="5" t="inlineStr">
        <is>
          <t>§3.4 — البرامج (FR-PRG)</t>
        </is>
      </c>
      <c r="B75" s="5" t="inlineStr">
        <is>
          <t>FR-PRG-01</t>
        </is>
      </c>
      <c r="C75" s="5" t="inlineStr">
        <is>
          <t>محفظة الاتفاقيات والمقاعد وسعر المقعد وسجل حوكمة</t>
        </is>
      </c>
      <c r="D75" s="5" t="inlineStr">
        <is>
          <t>⬜</t>
        </is>
      </c>
      <c r="E75" s="5" t="inlineStr">
        <is>
          <t>—</t>
        </is>
      </c>
      <c r="F75" s="5" t="inlineStr">
        <is>
          <t>كيانات Program/Agreement/Seat-assignment/Governance log جديدة (Seat الحالي مادي لا تمويلي)</t>
        </is>
      </c>
    </row>
    <row r="76">
      <c r="A76" s="5" t="inlineStr">
        <is>
          <t>§3.4 — البرامج (FR-PRG)</t>
        </is>
      </c>
      <c r="B76" s="5" t="inlineStr">
        <is>
          <t>FR-PRG-02</t>
        </is>
      </c>
      <c r="C76" s="5" t="inlineStr">
        <is>
          <t>مطالبات شهرية مجمّدة + خطاب PDF/Word/TXT + سحب</t>
        </is>
      </c>
      <c r="D76" s="5" t="inlineStr">
        <is>
          <t>⬜</t>
        </is>
      </c>
      <c r="E76" s="5" t="inlineStr">
        <is>
          <t>backend/app/Services/InvoicePdfService.php (mPDF لفواتير فقط)</t>
        </is>
      </c>
      <c r="F76" s="5" t="inlineStr">
        <is>
          <t>كيان Claim وتجميد المبلغ ومولّد الخطاب جديدان</t>
        </is>
      </c>
    </row>
    <row r="77">
      <c r="A77" s="5" t="inlineStr">
        <is>
          <t>§3.4 — البرامج (FR-PRG)</t>
        </is>
      </c>
      <c r="B77" s="5" t="inlineStr">
        <is>
          <t>FR-PRG-03</t>
        </is>
      </c>
      <c r="C77" s="5" t="inlineStr">
        <is>
          <t>تقرير المساحة PDF/Word/Excel/CSV</t>
        </is>
      </c>
      <c r="D77" s="5" t="inlineStr">
        <is>
          <t>⬜</t>
        </is>
      </c>
      <c r="E77" s="5" t="inlineStr">
        <is>
          <t>backend/app/Services/Owner/OwnerExportService.php (CSV)</t>
        </is>
      </c>
      <c r="F77" s="5" t="inlineStr">
        <is>
          <t>لا تقرير برامج ولا Word/Excel</t>
        </is>
      </c>
    </row>
    <row r="78">
      <c r="A78" s="5" t="inlineStr">
        <is>
          <t>§3.4 — البرامج (FR-PRG)</t>
        </is>
      </c>
      <c r="B78" s="5" t="inlineStr">
        <is>
          <t>FR-PRG-04</t>
        </is>
      </c>
      <c r="C78" s="5" t="inlineStr">
        <is>
          <t>«لايف»: من الموجود الآن من أصحاب المقاعد الممولة</t>
        </is>
      </c>
      <c r="D78" s="5" t="inlineStr">
        <is>
          <t>⬜</t>
        </is>
      </c>
      <c r="E78" s="5" t="inlineStr">
        <is>
          <t>—</t>
        </is>
      </c>
      <c r="F78" s="5" t="inlineStr">
        <is>
          <t>يحتاج قراءات راوتر</t>
        </is>
      </c>
    </row>
    <row r="79">
      <c r="A79" s="5" t="inlineStr">
        <is>
          <t>§3.4 — البرامج (FR-PRG)</t>
        </is>
      </c>
      <c r="B79" s="5" t="inlineStr">
        <is>
          <t>FR-PRG-05</t>
        </is>
      </c>
      <c r="C79" s="5" t="inlineStr">
        <is>
          <t>لوحة مقاعد لكل اتفاقية؛ الإسناد من لوحة المشغّل</t>
        </is>
      </c>
      <c r="D79" s="5" t="inlineStr">
        <is>
          <t>⬜</t>
        </is>
      </c>
      <c r="E79" s="5" t="inlineStr">
        <is>
          <t>—</t>
        </is>
      </c>
      <c r="F79" s="5" t="inlineStr">
        <is>
          <t>جديد</t>
        </is>
      </c>
    </row>
    <row r="80">
      <c r="A80" s="5" t="inlineStr">
        <is>
          <t>§3.4 — إقفال الشهر (FR-MCL)</t>
        </is>
      </c>
      <c r="B80" s="5" t="inlineStr">
        <is>
          <t>FR-MCL-01</t>
        </is>
      </c>
      <c r="C80" s="5" t="inlineStr">
        <is>
          <t>معالج 4 خطوات لإقفال الشهر</t>
        </is>
      </c>
      <c r="D80" s="5" t="inlineStr">
        <is>
          <t>⬜</t>
        </is>
      </c>
      <c r="E80" s="5" t="inlineStr">
        <is>
          <t>—</t>
        </is>
      </c>
      <c r="F80" s="5" t="inlineStr">
        <is>
          <t>جديد</t>
        </is>
      </c>
    </row>
    <row r="81">
      <c r="A81" s="5" t="inlineStr">
        <is>
          <t>§3.4 — إقفال الشهر (FR-MCL)</t>
        </is>
      </c>
      <c r="B81" s="5" t="inlineStr">
        <is>
          <t>FR-MCL-02</t>
        </is>
      </c>
      <c r="C81" s="5" t="inlineStr">
        <is>
          <t>22 فحص جودة في 7 فئات + إصلاح تلقائي/ذكي</t>
        </is>
      </c>
      <c r="D81" s="5" t="inlineStr">
        <is>
          <t>⬜</t>
        </is>
      </c>
      <c r="E81" s="5" t="inlineStr">
        <is>
          <t>—</t>
        </is>
      </c>
      <c r="F81" s="5" t="inlineStr">
        <is>
          <t>جديد</t>
        </is>
      </c>
    </row>
    <row r="82">
      <c r="A82" s="5" t="inlineStr">
        <is>
          <t>§3.4 — إقفال الشهر (FR-MCL)</t>
        </is>
      </c>
      <c r="B82" s="5" t="inlineStr">
        <is>
          <t>FR-MCL-03</t>
        </is>
      </c>
      <c r="C82" s="5" t="inlineStr">
        <is>
          <t>الإغلاق يرسل الشهر لمراجعة UTR</t>
        </is>
      </c>
      <c r="D82" s="5" t="inlineStr">
        <is>
          <t>⬜</t>
        </is>
      </c>
      <c r="E82" s="5" t="inlineStr">
        <is>
          <t>—</t>
        </is>
      </c>
      <c r="F82" s="5" t="inlineStr">
        <is>
          <t>جديد (يتطلب طابور اعتماد لدى الأدمن)</t>
        </is>
      </c>
    </row>
    <row r="83">
      <c r="A83" s="5" t="inlineStr">
        <is>
          <t>§3.4 — الاستخدام ومراجعة UTR (FR-UR)</t>
        </is>
      </c>
      <c r="B83" s="5" t="inlineStr">
        <is>
          <t>FR-UR-01</t>
        </is>
      </c>
      <c r="C83" s="5" t="inlineStr">
        <is>
          <t>رقم UR الرسمي (SSOT) + ثلاث قراءات + Qualified-C</t>
        </is>
      </c>
      <c r="D83" s="5" t="inlineStr">
        <is>
          <t>⬜</t>
        </is>
      </c>
      <c r="E83" s="5" t="inlineStr">
        <is>
          <t>—</t>
        </is>
      </c>
      <c r="F83" s="5" t="inlineStr">
        <is>
          <t>جديد (الإشغال الحالي في OwnerDashboardService.php نسبة مقاعد وليس UR)</t>
        </is>
      </c>
    </row>
    <row r="84">
      <c r="A84" s="5" t="inlineStr">
        <is>
          <t>§3.4 — الاستخدام ومراجعة UTR (FR-UR)</t>
        </is>
      </c>
      <c r="B84" s="5" t="inlineStr">
        <is>
          <t>FR-UR-02</t>
        </is>
      </c>
      <c r="C84" s="5" t="inlineStr">
        <is>
          <t>الفرق بين UR الحالي والمتوقع بعد الاعتماد</t>
        </is>
      </c>
      <c r="D84" s="5" t="inlineStr">
        <is>
          <t>⬜</t>
        </is>
      </c>
      <c r="E84" s="5" t="inlineStr">
        <is>
          <t>—</t>
        </is>
      </c>
      <c r="F84" s="5" t="inlineStr">
        <is>
          <t>جديد</t>
        </is>
      </c>
    </row>
    <row r="85">
      <c r="A85" s="5" t="inlineStr">
        <is>
          <t>§3.4 — الاستخدام ومراجعة UTR (FR-UR)</t>
        </is>
      </c>
      <c r="B85" s="5" t="inlineStr">
        <is>
          <t>FR-UR-03</t>
        </is>
      </c>
      <c r="C85" s="5" t="inlineStr">
        <is>
          <t>توزيع الساعات/عامل C/اتجاه 12 شهرًا/توصيات/تحديث الآن</t>
        </is>
      </c>
      <c r="D85" s="5" t="inlineStr">
        <is>
          <t>⬜</t>
        </is>
      </c>
      <c r="E85" s="5" t="inlineStr">
        <is>
          <t>—</t>
        </is>
      </c>
      <c r="F85" s="5" t="inlineStr">
        <is>
          <t>جديد</t>
        </is>
      </c>
    </row>
    <row r="86">
      <c r="A86" s="5" t="inlineStr">
        <is>
          <t>§3.4 — الاستخدام ومراجعة UTR (FR-UR)</t>
        </is>
      </c>
      <c r="B86" s="5" t="inlineStr">
        <is>
          <t>FR-UR-04</t>
        </is>
      </c>
      <c r="C86" s="5" t="inlineStr">
        <is>
          <t>شاشة مراجعة لكل مشترك + ملاحظة تبرير + اقتراحات نوع ذكي + تحليل سلوكي</t>
        </is>
      </c>
      <c r="D86" s="5" t="inlineStr">
        <is>
          <t>⬜</t>
        </is>
      </c>
      <c r="E86" s="5" t="inlineStr">
        <is>
          <t>—</t>
        </is>
      </c>
      <c r="F86" s="5" t="inlineStr">
        <is>
          <t>جديد (UTR Record)</t>
        </is>
      </c>
    </row>
    <row r="87">
      <c r="A87" s="5" t="inlineStr">
        <is>
          <t>§3.5 — التحليلات والتقارير</t>
        </is>
      </c>
      <c r="B87" s="5" t="inlineStr">
        <is>
          <t>FR-ANL-01</t>
        </is>
      </c>
      <c r="C87" s="5" t="inlineStr">
        <is>
          <t>تحليلات بـ 8 تبويبات (نظرة عامة، متقدم، شهري، احتفاظ، مقارنة، تقييم، KPI، أجهزة)</t>
        </is>
      </c>
      <c r="D87" s="5" t="inlineStr">
        <is>
          <t>🟨</t>
        </is>
      </c>
      <c r="E87" s="5" t="inlineStr">
        <is>
          <t>backend/app/Services/OwnerDashboardService.php، backend/app/Services/Admin/AnalyticsService.php، frontend/src/components/features/admin/AnalyticsDashboard.tsx</t>
        </is>
      </c>
      <c r="F87" s="5" t="inlineStr">
        <is>
          <t>لوحة المالك (إيراد 6 أشهر، جنس، حالة) ولوحة أدمن (مدينة/جنس) فقط؛ لا صفحة /analytics للمالك ولا تبويبات احتفاظ/مقارنة/أجهزة/KPI؛ تقييمات المساحات موجودة منفصلة (backend/app/Services/ReviewService.php)</t>
        </is>
      </c>
    </row>
    <row r="88">
      <c r="A88" s="5" t="inlineStr">
        <is>
          <t>§3.5 — التحليلات والتقارير</t>
        </is>
      </c>
      <c r="B88" s="5" t="inlineStr">
        <is>
          <t>FR-RPT-01</t>
        </is>
      </c>
      <c r="C88" s="5" t="inlineStr">
        <is>
          <t>19 نوع تقرير + سنة/شهر + إنشاء سريع</t>
        </is>
      </c>
      <c r="D88" s="5" t="inlineStr">
        <is>
          <t>🟨</t>
        </is>
      </c>
      <c r="E88" s="5" t="inlineStr">
        <is>
          <t>backend/app/Services/OwnerReportsService.php، backend/app/Services/Pos/PosReportService.php، frontend/src/components/features/owner/OwnerReportsSections.tsx</t>
        </is>
      </c>
      <c r="F88" s="5" t="inlineStr">
        <is>
          <t>يوجد بشكل ما: (1) قائمة المشتركين (CSV)، (2) ملخص مالي/أرباح وخسائر شهري، (3) أعمار ديون (تحصيل) — مقاربة جزئية، (4) استخدام الباقات (package uptake)، (5) تقرير مبيعات POS. غير موجود: الملخص التنفيذي، السعة، صحة المشتركين، الاحتفاظ، الإشغال بأنواعه الثلاثة، الولاء، استهلاك الشبكة، توقع الطلب، الإيراد المحتمل، مقارنة الفترات، جودة البيانات، تحليل الوقت، اللوحة الموحدة، تقرير GSG الشهري. التصدير CSV فقط (PDF للفواتير فقط)</t>
        </is>
      </c>
    </row>
    <row r="89">
      <c r="A89" s="5" t="inlineStr">
        <is>
          <t>§4 — الفريلانسر (FR-FL + نقاط التماس)</t>
        </is>
      </c>
      <c r="B89" s="5" t="inlineStr">
        <is>
          <t>FR-FL-01</t>
        </is>
      </c>
      <c r="C89" s="5" t="inlineStr">
        <is>
          <t>بوابة دخول OTP على الهاتف</t>
        </is>
      </c>
      <c r="D89" s="5" t="inlineStr">
        <is>
          <t>⬜</t>
        </is>
      </c>
      <c r="E89" s="5" t="inlineStr">
        <is>
          <t>backend/app/Services/Auth/TaqatSsoService.php، backend/app/Http/Controllers/Auth/TaqatSsoController.php</t>
        </is>
      </c>
      <c r="F89" s="5" t="inlineStr">
        <is>
          <t>الدخول حاليًا بريد/كلمة مرور + SSO؛ لا OTP (Sms/ موجود كسائق إرسال فقط في backend/app/Services/Sms/SmsService.php)</t>
        </is>
      </c>
    </row>
    <row r="90">
      <c r="A90" s="5" t="inlineStr">
        <is>
          <t>§4 — الفريلانسر (FR-FL + نقاط التماس)</t>
        </is>
      </c>
      <c r="B90" s="5" t="inlineStr">
        <is>
          <t>FR-FL-02</t>
        </is>
      </c>
      <c r="C90" s="5" t="inlineStr">
        <is>
          <t>عرض الاشتراك والساعات والحضور والرصيد والفواتير وتنزيلها</t>
        </is>
      </c>
      <c r="D90" s="5" t="inlineStr">
        <is>
          <t>🟨</t>
        </is>
      </c>
      <c r="E90" s="5" t="inlineStr">
        <is>
          <t>backend/app/Http/Controllers/Member/DashboardController.php، backend/app/Http/Controllers/Member/InvoiceController.php، frontend/src/app/[locale]/(dashboard)/freelancer/invoices/page.tsx</t>
        </is>
      </c>
      <c r="F90" s="5" t="inlineStr">
        <is>
          <t>الاشتراك والفواتير وتنزيل PDF (/invoices/{invoice}/pdf) موجودة؛ لا ساعات/حضور ولا محفظة/رصيد</t>
        </is>
      </c>
    </row>
    <row r="91">
      <c r="A91" s="5" t="inlineStr">
        <is>
          <t>§4 — الفريلانسر (FR-FL + نقاط التماس)</t>
        </is>
      </c>
      <c r="B91" s="5" t="inlineStr">
        <is>
          <t>FR-FL-03</t>
        </is>
      </c>
      <c r="C91" s="5" t="inlineStr">
        <is>
          <t>طلب تجديد/تغيير خطة وحجز غرفة</t>
        </is>
      </c>
      <c r="D91" s="5" t="inlineStr">
        <is>
          <t>🟨</t>
        </is>
      </c>
      <c r="E91" s="5" t="inlineStr">
        <is>
          <t>backend/app/Http/Controllers/BookingRequestController.php، backend/app/Http/Controllers/SubscriptionController.php</t>
        </is>
      </c>
      <c r="F91" s="5" t="inlineStr">
        <is>
          <t>طلب اشتراك جديد وإلغاء موجودان؛ لا طلب تجديد/تغيير خطة ولا حجز غرف</t>
        </is>
      </c>
    </row>
    <row r="92">
      <c r="A92" s="5" t="inlineStr">
        <is>
          <t>§4 — الفريلانسر (FR-FL + نقاط التماس)</t>
        </is>
      </c>
      <c r="B92" s="5" t="inlineStr">
        <is>
          <t>FR-FL-04</t>
        </is>
      </c>
      <c r="C92" s="5" t="inlineStr">
        <is>
          <t>الاعتراض على ساعات/رسوم خاطئة</t>
        </is>
      </c>
      <c r="D92" s="5" t="inlineStr">
        <is>
          <t>⬜</t>
        </is>
      </c>
      <c r="E92" s="5" t="inlineStr">
        <is>
          <t>backend/app/Http/Controllers/Member/InvoiceController.php (رفع إيصال فقط)</t>
        </is>
      </c>
      <c r="F92" s="5" t="inlineStr">
        <is>
          <t>لا آلية اعتراض (قد يُبنى فوق الرسائل/المحادثة backend/app/Http/Controllers/ChatController.php)</t>
        </is>
      </c>
    </row>
    <row r="93">
      <c r="A93" s="5" t="inlineStr">
        <is>
          <t>§4 — الفريلانسر (FR-FL + نقاط التماس)</t>
        </is>
      </c>
      <c r="B93" s="5" t="inlineStr">
        <is>
          <t>FR-FL-05</t>
        </is>
      </c>
      <c r="C93" s="5" t="inlineStr">
        <is>
          <t>إدارة أجهزته المرتبطة</t>
        </is>
      </c>
      <c r="D93" s="5" t="inlineStr">
        <is>
          <t>⬜</t>
        </is>
      </c>
      <c r="E93" s="5" t="inlineStr">
        <is>
          <t>backend/app/Models/DeviceToken.php (رموز Push فقط، ليست أجهزة شبكة)</t>
        </is>
      </c>
      <c r="F93" s="5" t="inlineStr">
        <is>
          <t>كيان Device (MAC/IP) جديد</t>
        </is>
      </c>
    </row>
    <row r="94">
      <c r="A94" s="5" t="inlineStr">
        <is>
          <t>§4 — الفريلانسر (FR-FL + نقاط التماس)</t>
        </is>
      </c>
      <c r="B94" s="5" t="inlineStr">
        <is>
          <t>FL-TP-GUEST</t>
        </is>
      </c>
      <c r="C94" s="5" t="inlineStr">
        <is>
          <t>تسجيل ذاتي للضيف عبر Hotspot</t>
        </is>
      </c>
      <c r="D94" s="5" t="inlineStr">
        <is>
          <t>⬜</t>
        </is>
      </c>
      <c r="E94" s="5" t="inlineStr">
        <is>
          <t>backend/app/Services/InternetAccessService.php</t>
        </is>
      </c>
      <c r="F94" s="5" t="inlineStr">
        <is>
          <t>لا Hotspot/MikroTik؛ الموجود إصدار بيانات اعتماد إنترنت يدويًا من المالك</t>
        </is>
      </c>
    </row>
    <row r="95">
      <c r="A95" s="5" t="inlineStr">
        <is>
          <t>§4 — الفريلانسر (FR-FL + نقاط التماس)</t>
        </is>
      </c>
      <c r="B95" s="5" t="inlineStr">
        <is>
          <t>FL-TP-STATUS</t>
        </is>
      </c>
      <c r="C95" s="5" t="inlineStr">
        <is>
          <t>صفحة «حالتي» العامة</t>
        </is>
      </c>
      <c r="D95" s="5" t="inlineStr">
        <is>
          <t>🟨</t>
        </is>
      </c>
      <c r="E95" s="5" t="inlineStr">
        <is>
          <t>frontend/src/app/[locale]/(dashboard)/freelancer/subscription/page.tsx، backend/app/Http/Controllers/Partner/MembershipController.php</t>
        </is>
      </c>
      <c r="F95" s="5" t="inlineStr">
        <is>
          <t>حالة الاشتراك داخل لوحة مسجّلة + API شريك؛ لا صفحة عامة بالهاتف</t>
        </is>
      </c>
    </row>
    <row r="96">
      <c r="A96" s="5" t="inlineStr">
        <is>
          <t>§4 — الفريلانسر (FR-FL + نقاط التماس)</t>
        </is>
      </c>
      <c r="B96" s="5" t="inlineStr">
        <is>
          <t>FL-TP-FORMS</t>
        </is>
      </c>
      <c r="C96" s="5" t="inlineStr">
        <is>
          <t>نموذج طلب اشتراك/حجز غرف عامان بحدود مدة</t>
        </is>
      </c>
      <c r="D96" s="5" t="inlineStr">
        <is>
          <t>🟨</t>
        </is>
      </c>
      <c r="E96" s="5" t="inlineStr">
        <is>
          <t>frontend/src/app/[locale]/(public)/workspaces/[id]/page.tsx، backend/app/Http/Controllers/BookingRequestController.php</t>
        </is>
      </c>
      <c r="F96" s="5" t="inlineStr">
        <is>
          <t>الطلب يتطلب حساب فريلانسر؛ لا نموذج زائر ولا حجز غرف ولا حدود مدة/حجز مسبق</t>
        </is>
      </c>
    </row>
    <row r="97">
      <c r="A97" s="5" t="inlineStr">
        <is>
          <t>§4 — الفريلانسر (FR-FL + نقاط التماس)</t>
        </is>
      </c>
      <c r="B97" s="5" t="inlineStr">
        <is>
          <t>FL-TP-POS</t>
        </is>
      </c>
      <c r="C97" s="5" t="inlineStr">
        <is>
          <t>مشتريات الضيافة/POS تُضاف للحساب أو تُحصَّل فورًا</t>
        </is>
      </c>
      <c r="D97" s="5" t="inlineStr">
        <is>
          <t>✅</t>
        </is>
      </c>
      <c r="E97" s="5" t="inlineStr">
        <is>
          <t>backend/app/Services/Pos/PosOrderService.php، backend/routes/api/freelancer-pos.php، frontend/src/app/[locale]/(dashboard)/freelancer/pos/page.tsx</t>
        </is>
      </c>
      <c r="F97" s="5" t="inlineStr">
        <is>
          <t>الفريلانسر يطلب والكاشير يحصّل؛ لا إضافة على حساب/فاتورة ولا محفظة (بحسب النموذج الحالي: دفع عند الكاونتر)</t>
        </is>
      </c>
    </row>
    <row r="98">
      <c r="A98" s="5" t="inlineStr">
        <is>
          <t>§4 — الفريلانسر (FR-FL + نقاط التماس)</t>
        </is>
      </c>
      <c r="B98" s="5" t="inlineStr">
        <is>
          <t>FL-TP-HOLIDAY</t>
        </is>
      </c>
      <c r="C98" s="5" t="inlineStr">
        <is>
          <t>عطلات معتمدة تُخرج الأيام من العمل</t>
        </is>
      </c>
      <c r="D98" s="5" t="inlineStr">
        <is>
          <t>⬜</t>
        </is>
      </c>
      <c r="E98" s="5" t="inlineStr">
        <is>
          <t>—</t>
        </is>
      </c>
      <c r="F98" s="5" t="inlineStr">
        <is>
          <t>كيان Holiday جديد (الأقرب working_hours JSON في Workspace)</t>
        </is>
      </c>
    </row>
    <row r="99">
      <c r="A99" s="5" t="inlineStr">
        <is>
          <t>§4 — الفريلانسر (FR-FL + نقاط التماس)</t>
        </is>
      </c>
      <c r="B99" s="5" t="inlineStr">
        <is>
          <t>FL-TP-TOOLS</t>
        </is>
      </c>
      <c r="C99" s="5" t="inlineStr">
        <is>
          <t>أدوات تقسيم/دمج/حظر</t>
        </is>
      </c>
      <c r="D99" s="5" t="inlineStr">
        <is>
          <t>⬜</t>
        </is>
      </c>
      <c r="E99" s="5" t="inlineStr">
        <is>
          <t>—</t>
        </is>
      </c>
      <c r="F99" s="5" t="inlineStr">
        <is>
          <t>جديد</t>
        </is>
      </c>
    </row>
    <row r="100">
      <c r="A100" s="5" t="inlineStr">
        <is>
          <t>§5 — السوبر أدمن (FR-SA)</t>
        </is>
      </c>
      <c r="B100" s="5" t="inlineStr">
        <is>
          <t>FR-SA-01</t>
        </is>
      </c>
      <c r="C100" s="5" t="inlineStr">
        <is>
          <t>إدارة المساحات: إنشاء، تفعيل/إيقاف، تعيين الخطة</t>
        </is>
      </c>
      <c r="D100" s="5" t="inlineStr">
        <is>
          <t>🟨</t>
        </is>
      </c>
      <c r="E100" s="5" t="inlineStr">
        <is>
          <t>backend/app/Services/Admin/AdminWorkspaceService.php، backend/routes/api/workspaces.php، frontend/src/components/features/admin/WorkspacesTable.tsx</t>
        </is>
      </c>
      <c r="F100" s="5" t="inlineStr">
        <is>
          <t>تفعيل/تعليق/نشر/إلغاء نشر موجود؛ إنشاء من الأدمن وتعيين «خطة» للمساحة غير موجود (لا خطط SaaS بحسب نموذج العمل)</t>
        </is>
      </c>
    </row>
    <row r="101">
      <c r="A101" s="5" t="inlineStr">
        <is>
          <t>§5 — السوبر أدمن (FR-SA)</t>
        </is>
      </c>
      <c r="B101" s="5" t="inlineStr">
        <is>
          <t>FR-SA-02</t>
        </is>
      </c>
      <c r="C101" s="5" t="inlineStr">
        <is>
          <t>طابور اعتماد UTR لكل المساحات</t>
        </is>
      </c>
      <c r="D101" s="5" t="inlineStr">
        <is>
          <t>⬜</t>
        </is>
      </c>
      <c r="E101" s="5" t="inlineStr">
        <is>
          <t>—</t>
        </is>
      </c>
      <c r="F101" s="5" t="inlineStr">
        <is>
          <t>جديد</t>
        </is>
      </c>
    </row>
    <row r="102">
      <c r="A102" s="5" t="inlineStr">
        <is>
          <t>§5 — السوبر أدمن (FR-SA)</t>
        </is>
      </c>
      <c r="B102" s="5" t="inlineStr">
        <is>
          <t>FR-SA-03</t>
        </is>
      </c>
      <c r="C102" s="5" t="inlineStr">
        <is>
          <t>إدارة البرامج والاتفاقيات ولوحات المقاعد</t>
        </is>
      </c>
      <c r="D102" s="5" t="inlineStr">
        <is>
          <t>⬜</t>
        </is>
      </c>
      <c r="E102" s="5" t="inlineStr">
        <is>
          <t>—</t>
        </is>
      </c>
      <c r="F102" s="5" t="inlineStr">
        <is>
          <t>جديد</t>
        </is>
      </c>
    </row>
    <row r="103">
      <c r="A103" s="5" t="inlineStr">
        <is>
          <t>§5 — السوبر أدمن (FR-SA)</t>
        </is>
      </c>
      <c r="B103" s="5" t="inlineStr">
        <is>
          <t>FR-SA-04</t>
        </is>
      </c>
      <c r="C103" s="5" t="inlineStr">
        <is>
          <t>استلام المطالبات ومتابعة صرفها</t>
        </is>
      </c>
      <c r="D103" s="5" t="inlineStr">
        <is>
          <t>⬜</t>
        </is>
      </c>
      <c r="E103" s="5" t="inlineStr">
        <is>
          <t>—</t>
        </is>
      </c>
      <c r="F103" s="5" t="inlineStr">
        <is>
          <t>جديد</t>
        </is>
      </c>
    </row>
    <row r="104">
      <c r="A104" s="5" t="inlineStr">
        <is>
          <t>§5 — السوبر أدمن (FR-SA)</t>
        </is>
      </c>
      <c r="B104" s="5" t="inlineStr">
        <is>
          <t>FR-SA-05</t>
        </is>
      </c>
      <c r="C104" s="5" t="inlineStr">
        <is>
          <t>اعتماد تغييرات الإعدادات الحساسة والنطاقات</t>
        </is>
      </c>
      <c r="D104" s="5" t="inlineStr">
        <is>
          <t>🟨</t>
        </is>
      </c>
      <c r="E104" s="5" t="inlineStr">
        <is>
          <t>backend/app/Services/Admin/AdminWorkspaceService.php (دورة نشر/اعتماد المساحة)</t>
        </is>
      </c>
      <c r="F104" s="5" t="inlineStr">
        <is>
          <t>اعتماد نشر المساحة فقط؛ لا طلبات تغيير إعدادات/نطاق مخصص</t>
        </is>
      </c>
    </row>
    <row r="105">
      <c r="A105" s="5" t="inlineStr">
        <is>
          <t>§5 — السوبر أدمن (FR-SA)</t>
        </is>
      </c>
      <c r="B105" s="5" t="inlineStr">
        <is>
          <t>FR-SA-06</t>
        </is>
      </c>
      <c r="C105" s="5" t="inlineStr">
        <is>
          <t>إدارة معلمات صيغة UR العامة</t>
        </is>
      </c>
      <c r="D105" s="5" t="inlineStr">
        <is>
          <t>⬜</t>
        </is>
      </c>
      <c r="E105" s="5" t="inlineStr">
        <is>
          <t>backend/app/Models/SiteSetting.php (إعدادات موقع عامة غير ذات صلة بالصيغة)</t>
        </is>
      </c>
      <c r="F105" s="5" t="inlineStr">
        <is>
          <t>Parameter Set جديد</t>
        </is>
      </c>
    </row>
    <row r="106">
      <c r="A106" s="5" t="inlineStr">
        <is>
          <t>§5 — السوبر أدمن (FR-SA)</t>
        </is>
      </c>
      <c r="B106" s="5" t="inlineStr">
        <is>
          <t>FR-SA-07</t>
        </is>
      </c>
      <c r="C106" s="5" t="inlineStr">
        <is>
          <t>مراقبة صحة المزامنة وتنبيه توقف الراوتر</t>
        </is>
      </c>
      <c r="D106" s="5" t="inlineStr">
        <is>
          <t>⬜</t>
        </is>
      </c>
      <c r="E106" s="5" t="inlineStr">
        <is>
          <t>backend/app/Http/Controllers/HealthController.php (صحة API فقط)</t>
        </is>
      </c>
      <c r="F106" s="5" t="inlineStr">
        <is>
          <t>لا راوترات ولا مزامنة</t>
        </is>
      </c>
    </row>
    <row r="107">
      <c r="A107" s="5" t="inlineStr">
        <is>
          <t>§5 — السوبر أدمن (FR-SA)</t>
        </is>
      </c>
      <c r="B107" s="5" t="inlineStr">
        <is>
          <t>SA-RPT</t>
        </is>
      </c>
      <c r="C107" s="5" t="inlineStr">
        <is>
          <t>تجميع تقارير المساحات للجهة المانحة</t>
        </is>
      </c>
      <c r="D107" s="5" t="inlineStr">
        <is>
          <t>🟨</t>
        </is>
      </c>
      <c r="E107" s="5" t="inlineStr">
        <is>
          <t>backend/app/Services/Admin/ReportsService.php، backend/app/Services/Admin/AnalyticsService.php، backend/app/Services/Admin/ExportService.php</t>
        </is>
      </c>
      <c r="F107" s="5" t="inlineStr">
        <is>
          <t>تجميع إيرادات/اشتراكات/مساحات/مدن/جنس عبر المنصة + CSV؛ لا تقرير GSG ولا بيانات مانح/برامج</t>
        </is>
      </c>
    </row>
    <row r="108">
      <c r="A108" s="5" t="inlineStr">
        <is>
          <t>§6 — مصفوفة الصلاحيات والتدفقات</t>
        </is>
      </c>
      <c r="B108" s="5" t="inlineStr">
        <is>
          <t>PERM-ROLES</t>
        </is>
      </c>
      <c r="C108" s="5" t="inlineStr">
        <is>
          <t>4 أدوار: مالك، موظف، فريلانسر، سوبر أدمن</t>
        </is>
      </c>
      <c r="D108" s="5" t="inlineStr">
        <is>
          <t>✅</t>
        </is>
      </c>
      <c r="E108" s="5" t="inlineStr">
        <is>
          <t>backend/app/Enums/UserRole.php، backend/app/Enums/PosPermission.php، backend/app/Enums/AdminPermission.php</t>
        </is>
      </c>
      <c r="F108" s="5" t="inlineStr">
        <is>
          <t>«موظف المساحة» = cashier بصلاحيات POS فقط (sell/refund/manage_products/view_reports)؛ لا موظف مشرف مالي/ضيافة ولا صلاحيات فواتير/مصروفات/استيراد منفصلة</t>
        </is>
      </c>
    </row>
    <row r="109">
      <c r="A109" s="5" t="inlineStr">
        <is>
          <t>§6 — مصفوفة الصلاحيات والتدفقات</t>
        </is>
      </c>
      <c r="B109" s="5" t="inlineStr">
        <is>
          <t>PERM-2FA</t>
        </is>
      </c>
      <c r="C109" s="5" t="inlineStr">
        <is>
          <t>فواتير بصلاحية + مصادقة ثنائية للموظف</t>
        </is>
      </c>
      <c r="D109" s="5" t="inlineStr">
        <is>
          <t>⬜</t>
        </is>
      </c>
      <c r="E109" s="5" t="inlineStr">
        <is>
          <t>backend/app/Http/Middleware/EnsureHasAdminPermission.php</t>
        </is>
      </c>
      <c r="F109" s="5" t="inlineStr">
        <is>
          <t>لا 2FA؛ الفواتير للمالك فقط (role.owner) ولا صلاحيات موظف عليها</t>
        </is>
      </c>
    </row>
    <row r="110">
      <c r="A110" s="5" t="inlineStr">
        <is>
          <t>§6 — مصفوفة الصلاحيات والتدفقات</t>
        </is>
      </c>
      <c r="B110" s="5" t="inlineStr">
        <is>
          <t>PERM-ADMIN</t>
        </is>
      </c>
      <c r="C110" s="5" t="inlineStr">
        <is>
          <t>صلاحيات أدمن دقيقة</t>
        </is>
      </c>
      <c r="D110" s="5" t="inlineStr">
        <is>
          <t>✅</t>
        </is>
      </c>
      <c r="E110" s="5" t="inlineStr">
        <is>
          <t>backend/app/Services/Admin/AdminManagementService.php، frontend/src/lib/admin-guard.ts، backend/database/seeders/AdminPermissionSeeder.php</t>
        </is>
      </c>
      <c r="F110" s="5" t="inlineStr">
        <is>
          <t>7 صلاحيات (can.permission:)؛ لا صلاحية اعتماد UR/مطالبات</t>
        </is>
      </c>
    </row>
    <row r="111">
      <c r="A111" s="5" t="inlineStr">
        <is>
          <t>§6 — مصفوفة الصلاحيات والتدفقات</t>
        </is>
      </c>
      <c r="B111" s="5" t="inlineStr">
        <is>
          <t>PERM-RESET</t>
        </is>
      </c>
      <c r="C111" s="5" t="inlineStr">
        <is>
          <t>إعادة تعيين المساحة (حذف بيانات)</t>
        </is>
      </c>
      <c r="D111" s="5" t="inlineStr">
        <is>
          <t>⬜</t>
        </is>
      </c>
      <c r="E111" s="5" t="inlineStr">
        <is>
          <t>—</t>
        </is>
      </c>
      <c r="F111" s="5" t="inlineStr">
        <is>
          <t>غير موجود (يوجد حذف مقعد/مصدر فقط)</t>
        </is>
      </c>
    </row>
    <row r="112">
      <c r="A112" s="5" t="inlineStr">
        <is>
          <t>§6 — مصفوفة الصلاحيات والتدفقات</t>
        </is>
      </c>
      <c r="B112" s="5" t="inlineStr">
        <is>
          <t>FLOW-UR</t>
        </is>
      </c>
      <c r="C112" s="5" t="inlineStr">
        <is>
          <t>التدفق الرئيسي: اتصال ← حضور ← تبرير ← إقفال ← اعتماد ← مطالبة</t>
        </is>
      </c>
      <c r="D112" s="5" t="inlineStr">
        <is>
          <t>⬜</t>
        </is>
      </c>
      <c r="E112" s="5" t="inlineStr">
        <is>
          <t>—</t>
        </is>
      </c>
      <c r="F112" s="5" t="inlineStr">
        <is>
          <t>كامل السلسلة جديدة</t>
        </is>
      </c>
    </row>
    <row r="113">
      <c r="A113" s="5" t="inlineStr">
        <is>
          <t>§6 — مصفوفة الصلاحيات والتدفقات</t>
        </is>
      </c>
      <c r="B113" s="5" t="inlineStr">
        <is>
          <t>FLOW-1</t>
        </is>
      </c>
      <c r="C113" s="5" t="inlineStr">
        <is>
          <t>طلب عضوية ← موافقة ← مشترك وعقد وخطة</t>
        </is>
      </c>
      <c r="D113" s="5" t="inlineStr">
        <is>
          <t>🟨</t>
        </is>
      </c>
      <c r="E113" s="5" t="inlineStr">
        <is>
          <t>backend/app/Services/BookingService.php، backend/app/Http/Controllers/BookingRequestController.php</t>
        </is>
      </c>
      <c r="F113" s="5" t="inlineStr">
        <is>
          <t>موافقة تنشئ اشتراكًا + فاتورة + إسناد مقعد + إشعار + Webhook؛ المقدّم يجب أن يكون مسجّلًا؛ لا عقد</t>
        </is>
      </c>
    </row>
    <row r="114">
      <c r="A114" s="5" t="inlineStr">
        <is>
          <t>§6 — مصفوفة الصلاحيات والتدفقات</t>
        </is>
      </c>
      <c r="B114" s="5" t="inlineStr">
        <is>
          <t>FLOW-2</t>
        </is>
      </c>
      <c r="C114" s="5" t="inlineStr">
        <is>
          <t>تحويل زائر مباشر إلى مشترك</t>
        </is>
      </c>
      <c r="D114" s="5" t="inlineStr">
        <is>
          <t>⬜</t>
        </is>
      </c>
      <c r="E114" s="5" t="inlineStr">
        <is>
          <t>—</t>
        </is>
      </c>
      <c r="F114" s="5" t="inlineStr">
        <is>
          <t>يتطلب Live visitors</t>
        </is>
      </c>
    </row>
    <row r="115">
      <c r="A115" s="5" t="inlineStr">
        <is>
          <t>§6 — مصفوفة الصلاحيات والتدفقات</t>
        </is>
      </c>
      <c r="B115" s="5" t="inlineStr">
        <is>
          <t>FLOW-3</t>
        </is>
      </c>
      <c r="C115" s="5" t="inlineStr">
        <is>
          <t>دورة الفوترة: حركات غير مفوترة ← مسودات ← إصدار ← سند قبض ← إشعار دائن</t>
        </is>
      </c>
      <c r="D115" s="5" t="inlineStr">
        <is>
          <t>🟨</t>
        </is>
      </c>
      <c r="E115" s="5" t="inlineStr">
        <is>
          <t>backend/app/Services/InvoiceService.php، backend/app/Console/Commands/GenerateMonthlyInvoices.php، backend/app/Models/InvoicePayment.php</t>
        </is>
      </c>
      <c r="F115" s="5" t="inlineStr">
        <is>
          <t>فواتير شهرية تلقائية + دفعات جزئية + مراجعة إيصال + تذكير/تأخر؛ لا حركات غير مفوترة ولا مسودة/إصدار منفصلان ولا سند قبض مستقل ولا إشعار دائن (الاسترداد في POS فقط: backend/app/Services/Pos/PosOrderService.php)</t>
        </is>
      </c>
    </row>
    <row r="116">
      <c r="A116" s="5" t="inlineStr">
        <is>
          <t>§6 — مصفوفة الصلاحيات والتدفقات</t>
        </is>
      </c>
      <c r="B116" s="5" t="inlineStr">
        <is>
          <t>FLOW-4</t>
        </is>
      </c>
      <c r="C116" s="5" t="inlineStr">
        <is>
          <t>دورة العقد مسودة→نشط→معلق↔نشط→منتهي/ملغى + تنبيه 14 يومًا</t>
        </is>
      </c>
      <c r="D116" s="5" t="inlineStr">
        <is>
          <t>🟨</t>
        </is>
      </c>
      <c r="E116" s="5" t="inlineStr">
        <is>
          <t>backend/app/Enums/SubscriptionStatus.php، backend/app/Services/MemberService.php (updateStatus)</t>
        </is>
      </c>
      <c r="F116" s="5" t="inlineStr">
        <is>
          <t>حالات اشتراك مشابهة بدون مسودة وانتقالات صارمة؛ تنبيه 3 أيام</t>
        </is>
      </c>
    </row>
    <row r="117">
      <c r="A117" s="5" t="inlineStr">
        <is>
          <t>§6 — مصفوفة الصلاحيات والتدفقات</t>
        </is>
      </c>
      <c r="B117" s="5" t="inlineStr">
        <is>
          <t>FLOW-5</t>
        </is>
      </c>
      <c r="C117" s="5" t="inlineStr">
        <is>
          <t>تغيير المعلمات: طلب ← موافقة الأدمن ← إعادة حساب Tmax/UR</t>
        </is>
      </c>
      <c r="D117" s="5" t="inlineStr">
        <is>
          <t>⬜</t>
        </is>
      </c>
      <c r="E117" s="5" t="inlineStr">
        <is>
          <t>—</t>
        </is>
      </c>
      <c r="F117" s="5" t="inlineStr">
        <is>
          <t>جديد (workflow طلبات تغيير)</t>
        </is>
      </c>
    </row>
    <row r="118">
      <c r="A118" s="5" t="inlineStr">
        <is>
          <t>§7.1 — المتطلبات غير الوظيفية</t>
        </is>
      </c>
      <c r="B118" s="5" t="inlineStr">
        <is>
          <t>NFR-SEC</t>
        </is>
      </c>
      <c r="C118" s="5" t="inlineStr">
        <is>
          <t>2FA، مفتاح API آمن، صلاحيات دقيقة</t>
        </is>
      </c>
      <c r="D118" s="5" t="inlineStr">
        <is>
          <t>🟨</t>
        </is>
      </c>
      <c r="E118" s="5" t="inlineStr">
        <is>
          <t>backend/app/Http/Middleware/AuthenticatePartner.php، backend/app/Models/PartnerClient.php، backend/app/Http/Middleware/EnsureHasAdminPermission.php</t>
        </is>
      </c>
      <c r="F118" s="5" t="inlineStr">
        <is>
          <t>مفتاح API مُجزّأ (api_key_hash) ويُرسل في X-Api-Key؛ Sanctum + صلاحيات Spatie؛ throttle على مسارات؛ لا 2FA؛ كلمة مرور الإنترنت تُخزَّن مشفّرة (internet_password_enc)</t>
        </is>
      </c>
    </row>
    <row r="119">
      <c r="A119" s="5" t="inlineStr">
        <is>
          <t>§7.1 — المتطلبات غير الوظيفية</t>
        </is>
      </c>
      <c r="B119" s="5" t="inlineStr">
        <is>
          <t>NFR-INTEG</t>
        </is>
      </c>
      <c r="C119" s="5" t="inlineStr">
        <is>
          <t>استيراد ذري بلا تكرار؛ تجميد الفاتورة/المطالبة/الضريبة؛ رموز ثابتة</t>
        </is>
      </c>
      <c r="D119" s="5" t="inlineStr">
        <is>
          <t>🟨</t>
        </is>
      </c>
      <c r="E119" s="5" t="inlineStr">
        <is>
          <t>backend/app/Services/OwnerSubscriptionService.php (DB::transaction)، backend/app/Models/Invoice.php (invoice_number unique)، backend/app/Models/PosProduct.php (sku)</t>
        </is>
      </c>
      <c r="F119" s="5" t="inlineStr">
        <is>
          <t>معاملات DB وترقيم فواتير فريد وSKU للمنتجات؛ لا استيراد XLSX، لا ضريبة/تجميد صريح بعد الإصدار، لا مطالبات</t>
        </is>
      </c>
    </row>
    <row r="120">
      <c r="A120" s="5" t="inlineStr">
        <is>
          <t>§7.1 — المتطلبات غير الوظيفية</t>
        </is>
      </c>
      <c r="B120" s="5" t="inlineStr">
        <is>
          <t>NFR-AUDIT</t>
        </is>
      </c>
      <c r="C120" s="5" t="inlineStr">
        <is>
          <t>سجل مالي بـ 17 إجراء، سجل حوكمة، سجل تجديد، سبب لكل تجاوز</t>
        </is>
      </c>
      <c r="D120" s="5" t="inlineStr">
        <is>
          <t>⬜</t>
        </is>
      </c>
      <c r="E120" s="5" t="inlineStr">
        <is>
          <t>backend/app/Models/PosStockMovement.php (سجل حركات مخزون فقط)</t>
        </is>
      </c>
      <c r="F120" s="5" t="inlineStr">
        <is>
          <t>لا Audit Log عام ولا سجل تجديد ولا حوكمة</t>
        </is>
      </c>
    </row>
    <row r="121">
      <c r="A121" s="5" t="inlineStr">
        <is>
          <t>§7.1 — المتطلبات غير الوظيفية</t>
        </is>
      </c>
      <c r="B121" s="5" t="inlineStr">
        <is>
          <t>NFR-PERF</t>
        </is>
      </c>
      <c r="C121" s="5" t="inlineStr">
        <is>
          <t>تحديث مراقب مباشر 30ث، لقطات راوتر، إعادة حساب يدوية</t>
        </is>
      </c>
      <c r="D121" s="5" t="inlineStr">
        <is>
          <t>🟨</t>
        </is>
      </c>
      <c r="E121" s="5" t="inlineStr">
        <is>
          <t>backend/routes/console.php (جدولة فواتير/إشعارات/queue كل دقيقة)</t>
        </is>
      </c>
      <c r="F121" s="5" t="inlineStr">
        <is>
          <t>لا مراقب مباشر ولا لقطات؛ المهام المجدولة وطابور DB موجودان</t>
        </is>
      </c>
    </row>
    <row r="122">
      <c r="A122" s="5" t="inlineStr">
        <is>
          <t>§7.1 — المتطلبات غير الوظيفية</t>
        </is>
      </c>
      <c r="B122" s="5" t="inlineStr">
        <is>
          <t>NFR-I18N</t>
        </is>
      </c>
      <c r="C122" s="5" t="inlineStr">
        <is>
          <t>واجهة عربية RTL، موقع عام ثنائي اللغة، 16 منطقة زمنية و8 عملات</t>
        </is>
      </c>
      <c r="D122" s="5" t="inlineStr">
        <is>
          <t>🟨</t>
        </is>
      </c>
      <c r="E122" s="5" t="inlineStr">
        <is>
          <t>frontend/src/messages/ar.json، frontend/src/messages/en.json، backend/app/Http/Middleware/SetLocale.php</t>
        </is>
      </c>
      <c r="F122" s="5" t="inlineStr">
        <is>
          <t>عربي/إنجليزي RTL موجود؛ لا إعداد منطقة زمنية ولا عملة لكل مساحة (لا حقول currency/timezone في Workspace)</t>
        </is>
      </c>
    </row>
    <row r="123">
      <c r="A123" s="5" t="inlineStr">
        <is>
          <t>§7.1 — المتطلبات غير الوظيفية</t>
        </is>
      </c>
      <c r="B123" s="5" t="inlineStr">
        <is>
          <t>NFR-UX</t>
        </is>
      </c>
      <c r="C123" s="5" t="inlineStr">
        <is>
          <t>اختصارات لوحة مفاتيح، حالات فارغة، تأكيد قبل الحذف</t>
        </is>
      </c>
      <c r="D123" s="5" t="inlineStr">
        <is>
          <t>🟨</t>
        </is>
      </c>
      <c r="E123" s="5" t="inlineStr">
        <is>
          <t>frontend/src/components/features/owner/SeatBoard.tsx، frontend/src/components/layout/DashShell.tsx</t>
        </is>
      </c>
      <c r="F123" s="5" t="inlineStr">
        <is>
          <t>تأكيدات وحالات فارغة قائمة في المكونات؛ لا اختصارات لوحة مفاتيح عامة (Alt+S… إلخ)</t>
        </is>
      </c>
    </row>
    <row r="124">
      <c r="A124" s="5" t="inlineStr">
        <is>
          <t>§7.1 — المتطلبات غير الوظيفية</t>
        </is>
      </c>
      <c r="B124" s="5" t="inlineStr">
        <is>
          <t>NFR-INT</t>
        </is>
      </c>
      <c r="C124" s="5" t="inlineStr">
        <is>
          <t>MikroTik، تصدير PDF/Word/Excel/CSV/JSON، استيراد XLSX</t>
        </is>
      </c>
      <c r="D124" s="5" t="inlineStr">
        <is>
          <t>🟨</t>
        </is>
      </c>
      <c r="E124" s="5" t="inlineStr">
        <is>
          <t>backend/app/Services/Admin/ExportService.php، backend/app/Services/InvoicePdfService.php، backend/app/Services/Partner/WebhookDispatcher.php</t>
        </is>
      </c>
      <c r="F124" s="5" t="inlineStr">
        <is>
          <t>CSV (فواتير/أعضاء/مصروفات + أدمن) وPDF فاتورة (mPDF) وWebhook شريك؛ لا MikroTik ولا Word/Excel/JSON ولا استيراد XLSX (لا PhpSpreadsheet في backend/composer.json)</t>
        </is>
      </c>
    </row>
    <row r="125">
      <c r="A125" s="5" t="inlineStr">
        <is>
          <t>§7.2 — نموذج البيانات</t>
        </is>
      </c>
      <c r="B125" s="5" t="inlineStr">
        <is>
          <t>ENT-Workspace</t>
        </is>
      </c>
      <c r="C125" s="5" t="inlineStr">
        <is>
          <t>slug، رمز، خطة، حالة، سعة، ساعات/أيام العمل، عملة، بنك</t>
        </is>
      </c>
      <c r="D125" s="5" t="inlineStr">
        <is>
          <t>🟨</t>
        </is>
      </c>
      <c r="E125" s="5" t="inlineStr">
        <is>
          <t>backend/app/Models/Workspace.php، backend/database/migrations/2026_06_02_110001_create_core_business_tables.php</t>
        </is>
      </c>
      <c r="F125" s="5" t="inlineStr">
        <is>
          <t>موجود: status, total_seats, working_hours JSON, city, logo؛ ناقص: slug، plan، عملة، منطقة زمنية، بنك، سعة بالساعات</t>
        </is>
      </c>
    </row>
    <row r="126">
      <c r="A126" s="5" t="inlineStr">
        <is>
          <t>§7.2 — نموذج البيانات</t>
        </is>
      </c>
      <c r="B126" s="5" t="inlineStr">
        <is>
          <t>ENT-Subscriber</t>
        </is>
      </c>
      <c r="C126" s="5" t="inlineStr">
        <is>
          <t>هاتف، اسم MikroTik، نوع، حالة، جنس، تعليم، تخصص، وظيفة، ولاء، قوة</t>
        </is>
      </c>
      <c r="D126" s="5" t="inlineStr">
        <is>
          <t>🟨</t>
        </is>
      </c>
      <c r="E126" s="5" t="inlineStr">
        <is>
          <t>backend/app/Models/User.php، backend/app/Models/Subscription.php</t>
        </is>
      </c>
      <c r="F126" s="5" t="inlineStr">
        <is>
          <t>المشترك = User (role freelancer) + Subscription (بلا جدول منفصل)؛ ناقص: تعليم، حالة وظيفية، درجات ولاء/قوة، اسم MikroTik على المستخدم</t>
        </is>
      </c>
    </row>
    <row r="127">
      <c r="A127" s="5" t="inlineStr">
        <is>
          <t>§7.2 — نموذج البيانات</t>
        </is>
      </c>
      <c r="B127" s="5" t="inlineStr">
        <is>
          <t>ENT-Device</t>
        </is>
      </c>
      <c r="C127" s="5" t="inlineStr">
        <is>
          <t>MAC، IP، جلسات، تنزيل/رفع، آخر ظهور (لقطة)</t>
        </is>
      </c>
      <c r="D127" s="5" t="inlineStr">
        <is>
          <t>⬜</t>
        </is>
      </c>
      <c r="E127" s="5" t="inlineStr">
        <is>
          <t>backend/app/Models/DeviceToken.php (Push token لا جهاز شبكة)</t>
        </is>
      </c>
      <c r="F127" s="5" t="inlineStr">
        <is>
          <t>جديد</t>
        </is>
      </c>
    </row>
    <row r="128">
      <c r="A128" s="5" t="inlineStr">
        <is>
          <t>§7.2 — نموذج البيانات</t>
        </is>
      </c>
      <c r="B128" s="5" t="inlineStr">
        <is>
          <t>ENT-Contract</t>
        </is>
      </c>
      <c r="C128" s="5" t="inlineStr">
        <is>
          <t>نوع، بدء، مدة، سماح، تجديد، مكتب، ساعات، حالة حضور</t>
        </is>
      </c>
      <c r="D128" s="5" t="inlineStr">
        <is>
          <t>🟨</t>
        </is>
      </c>
      <c r="E128" s="5" t="inlineStr">
        <is>
          <t>backend/app/Models/Subscription.php، backend/app/Models/BookingRequest.php</t>
        </is>
      </c>
      <c r="F128" s="5" t="inlineStr">
        <is>
          <t>Subscription يغطي النوع/البدء/الانتهاء/المقعد؛ ناقص: سماح، تجديد تلقائي، ساعات، حضور؛ لا جدول حجوزات (Booking)</t>
        </is>
      </c>
    </row>
    <row r="129">
      <c r="A129" s="5" t="inlineStr">
        <is>
          <t>§7.2 — نموذج البيانات</t>
        </is>
      </c>
      <c r="B129" s="5" t="inlineStr">
        <is>
          <t>ENT-RosterEntry</t>
        </is>
      </c>
      <c r="C129" s="5" t="inlineStr">
        <is>
          <t>شهر، نوع، وحدات، ساعات، Gift Hours</t>
        </is>
      </c>
      <c r="D129" s="5" t="inlineStr">
        <is>
          <t>⬜</t>
        </is>
      </c>
      <c r="E129" s="5" t="inlineStr">
        <is>
          <t>—</t>
        </is>
      </c>
      <c r="F129" s="5" t="inlineStr">
        <is>
          <t>جديد</t>
        </is>
      </c>
    </row>
    <row r="130">
      <c r="A130" s="5" t="inlineStr">
        <is>
          <t>§7.2 — نموذج البيانات</t>
        </is>
      </c>
      <c r="B130" s="5" t="inlineStr">
        <is>
          <t>ENT-UTRRecord</t>
        </is>
      </c>
      <c r="C130" s="5" t="inlineStr">
        <is>
          <t>متعاقد، فعلي، AR%، C، Locked Hours، تبرير، اعتماد</t>
        </is>
      </c>
      <c r="D130" s="5" t="inlineStr">
        <is>
          <t>⬜</t>
        </is>
      </c>
      <c r="E130" s="5" t="inlineStr">
        <is>
          <t>—</t>
        </is>
      </c>
      <c r="F130" s="5" t="inlineStr">
        <is>
          <t>جديد</t>
        </is>
      </c>
    </row>
    <row r="131">
      <c r="A131" s="5" t="inlineStr">
        <is>
          <t>§7.2 — نموذج البيانات</t>
        </is>
      </c>
      <c r="B131" s="5" t="inlineStr">
        <is>
          <t>ENT-PlanItemCategory</t>
        </is>
      </c>
      <c r="C131" s="5" t="inlineStr">
        <is>
          <t>طريقة تسعير، سعر، وحدة، رمز ثابت</t>
        </is>
      </c>
      <c r="D131" s="5" t="inlineStr">
        <is>
          <t>🟨</t>
        </is>
      </c>
      <c r="E131" s="5" t="inlineStr">
        <is>
          <t>backend/app/Models/InternetPackage.php، backend/app/Models/SeatTypePrice.php، backend/app/Models/PosProduct.php</t>
        </is>
      </c>
      <c r="F131" s="5" t="inlineStr">
        <is>
          <t>باقات إنترنت وأسعار أنواع مقاعد ومنتجات POS (sku + category نصي)؛ لا كيان خطة/صنف/تصنيف موحّد برمز ثابت ولا وحدة/طريقة تسعير</t>
        </is>
      </c>
    </row>
    <row r="132">
      <c r="A132" s="5" t="inlineStr">
        <is>
          <t>§7.2 — نموذج البيانات</t>
        </is>
      </c>
      <c r="B132" s="5" t="inlineStr">
        <is>
          <t>ENT-Billing</t>
        </is>
      </c>
      <c r="C132" s="5" t="inlineStr">
        <is>
          <t>فاتورة، سند قبض، إشعار دائن، سند صرف، مصروف</t>
        </is>
      </c>
      <c r="D132" s="5" t="inlineStr">
        <is>
          <t>🟨</t>
        </is>
      </c>
      <c r="E132" s="5" t="inlineStr">
        <is>
          <t>backend/app/Models/Invoice.php، backend/app/Models/InvoicePayment.php، backend/app/Models/Expense.php</t>
        </is>
      </c>
      <c r="F132" s="5" t="inlineStr">
        <is>
          <t>فاتورة + دفعات (≈ سند قبض) + مصروف + PosPayment (backend/app/Models/PosPayment.php) للاسترداد؛ ناقص: إشعار دائن، سند صرف، ربط بمؤسسة</t>
        </is>
      </c>
    </row>
    <row r="133">
      <c r="A133" s="5" t="inlineStr">
        <is>
          <t>§7.2 — نموذج البيانات</t>
        </is>
      </c>
      <c r="B133" s="5" t="inlineStr">
        <is>
          <t>ENT-Organization</t>
        </is>
      </c>
      <c r="C133" s="5" t="inlineStr">
        <is>
          <t>اسم، رقم ضريبي، تواصل</t>
        </is>
      </c>
      <c r="D133" s="5" t="inlineStr">
        <is>
          <t>⬜</t>
        </is>
      </c>
      <c r="E133" s="5" t="inlineStr">
        <is>
          <t>—</t>
        </is>
      </c>
      <c r="F133" s="5" t="inlineStr">
        <is>
          <t>جديد (لا شركات تدفع فاتورة موحدة)</t>
        </is>
      </c>
    </row>
    <row r="134">
      <c r="A134" s="5" t="inlineStr">
        <is>
          <t>§7.2 — نموذج البيانات</t>
        </is>
      </c>
      <c r="B134" s="5" t="inlineStr">
        <is>
          <t>ENT-StationLocation</t>
        </is>
      </c>
      <c r="C134" s="5" t="inlineStr">
        <is>
          <t>رقم، نوع، منطقة، سعة، خصوصية، فرع</t>
        </is>
      </c>
      <c r="D134" s="5" t="inlineStr">
        <is>
          <t>🟨</t>
        </is>
      </c>
      <c r="E134" s="5" t="inlineStr">
        <is>
          <t>backend/app/Models/Seat.php، backend/app/Models/Resource.php، backend/app/Enums/SeatType.php</t>
        </is>
      </c>
      <c r="F134" s="5" t="inlineStr">
        <is>
          <t>Seat (رقم، نوع fixed/flexible/private_office، حالة) وResource؛ ناقص: منطقة، سعة، خصوصية، فرع</t>
        </is>
      </c>
    </row>
    <row r="135">
      <c r="A135" s="5" t="inlineStr">
        <is>
          <t>§7.2 — نموذج البيانات</t>
        </is>
      </c>
      <c r="B135" s="5" t="inlineStr">
        <is>
          <t>ENT-ProgramAgreementClaim</t>
        </is>
      </c>
      <c r="C135" s="5" t="inlineStr">
        <is>
          <t>مانح، مقاعد، سعر، فترة، نوع تمويل، حوكمة</t>
        </is>
      </c>
      <c r="D135" s="5" t="inlineStr">
        <is>
          <t>⬜</t>
        </is>
      </c>
      <c r="E135" s="5" t="inlineStr">
        <is>
          <t>—</t>
        </is>
      </c>
      <c r="F135" s="5" t="inlineStr">
        <is>
          <t>جديد</t>
        </is>
      </c>
    </row>
    <row r="136">
      <c r="A136" s="5" t="inlineStr">
        <is>
          <t>§7.2 — نموذج البيانات</t>
        </is>
      </c>
      <c r="B136" s="5" t="inlineStr">
        <is>
          <t>ENT-AlertRule</t>
        </is>
      </c>
      <c r="C136" s="5" t="inlineStr">
        <is>
          <t>نوع، خطورة، عتبة، تهدئة، قنوات</t>
        </is>
      </c>
      <c r="D136" s="5" t="inlineStr">
        <is>
          <t>🟨</t>
        </is>
      </c>
      <c r="E136" s="5" t="inlineStr">
        <is>
          <t>backend/app/Notifications/SubscriptionExpiringNotification.php، backend/app/Services/Messaging/BroadcastService.php، backend/app/Services/NavActionCountService.php</t>
        </is>
      </c>
      <c r="F136" s="5" t="inlineStr">
        <is>
          <t>إشعارات ثابتة الكود (DB/Push/Email/SMS) بلا جدول قواعد؛ لا عتبات/تهدئة/خطورة</t>
        </is>
      </c>
    </row>
    <row r="137">
      <c r="A137" s="5" t="inlineStr">
        <is>
          <t>§7.2 — نموذج البيانات</t>
        </is>
      </c>
      <c r="B137" s="5" t="inlineStr">
        <is>
          <t>ENT-ParameterHoliday</t>
        </is>
      </c>
      <c r="C137" s="5" t="inlineStr">
        <is>
          <t>معلمات الـ32، تواريخ، حالة طلب</t>
        </is>
      </c>
      <c r="D137" s="5" t="inlineStr">
        <is>
          <t>⬜</t>
        </is>
      </c>
      <c r="E137" s="5" t="inlineStr">
        <is>
          <t>backend/app/Models/SiteSetting.php (مفتاح/قيمة عام)</t>
        </is>
      </c>
      <c r="F137" s="5" t="inlineStr">
        <is>
          <t>جديد</t>
        </is>
      </c>
    </row>
  </sheetData>
  <autoFilter ref="A1:F13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3"/>
  <sheetViews>
    <sheetView rightToLeft="1" workbookViewId="0">
      <pane ySplit="1" topLeftCell="A2" activePane="bottomLeft" state="frozen"/>
      <selection pane="bottomLeft" activeCell="A1" sqref="A1"/>
    </sheetView>
  </sheetViews>
  <sheetFormatPr baseColWidth="8" defaultRowHeight="15"/>
  <cols>
    <col width="6" customWidth="1" min="1" max="1"/>
    <col width="45" customWidth="1" min="2" max="2"/>
    <col width="35" customWidth="1" min="3" max="3"/>
    <col width="12" customWidth="1" min="4" max="4"/>
    <col width="70" customWidth="1" min="5" max="5"/>
  </cols>
  <sheetData>
    <row r="1">
      <c r="A1" s="4" t="inlineStr">
        <is>
          <t>#</t>
        </is>
      </c>
      <c r="B1" s="4" t="inlineStr">
        <is>
          <t>الخطر</t>
        </is>
      </c>
      <c r="C1" s="4" t="inlineStr">
        <is>
          <t>الأثر</t>
        </is>
      </c>
      <c r="D1" s="4" t="inlineStr">
        <is>
          <t>الاحتمال</t>
        </is>
      </c>
      <c r="E1" s="4" t="inlineStr">
        <is>
          <t>التخفيف</t>
        </is>
      </c>
    </row>
    <row r="2">
      <c r="A2" s="5" t="inlineStr">
        <is>
          <t>R1</t>
        </is>
      </c>
      <c r="B2" s="5" t="inlineStr">
        <is>
          <t>تأخر تجهيز الـ VPS ونقل النشر</t>
        </is>
      </c>
      <c r="C2" s="5" t="inlineStr">
        <is>
          <t>تأخير M2 وكل ما بعده</t>
        </is>
      </c>
      <c r="D2" s="5" t="inlineStr">
        <is>
          <t>متوسط</t>
        </is>
      </c>
      <c r="E2" s="5" t="inlineStr">
        <is>
          <t>يبدأ في M0، والنطاق sync.taqat.space ثابت من اليوم الأول فلا يُعاد تثبيت الراوترات</t>
        </is>
      </c>
    </row>
    <row r="3">
      <c r="A3" s="5" t="inlineStr">
        <is>
          <t>R2</t>
        </is>
      </c>
      <c r="B3" s="5" t="inlineStr">
        <is>
          <t>اختلاف إصدارات RouterOS وقدرات الراوترات</t>
        </is>
      </c>
      <c r="C3" s="5" t="inlineStr">
        <is>
          <t>فشل التثبيت أو الالتقاط</t>
        </is>
      </c>
      <c r="D3" s="5" t="inlineStr">
        <is>
          <t>متوسط</t>
        </is>
      </c>
      <c r="E3" s="5" t="inlineStr">
        <is>
          <t>CHR + مصفوفة اختبار لإصدارات 7.12+ والموديلات الفعلية</t>
        </is>
      </c>
    </row>
    <row r="4">
      <c r="A4" s="5" t="inlineStr">
        <is>
          <t>R3</t>
        </is>
      </c>
      <c r="B4" s="5" t="inlineStr">
        <is>
          <t>انقطاع الكهرباء والإنترنت في غزة</t>
        </is>
      </c>
      <c r="C4" s="5" t="inlineStr">
        <is>
          <t>فجوات في الحضور تؤثر على UR</t>
        </is>
      </c>
      <c r="D4" s="5" t="inlineStr">
        <is>
          <t>عالٍ</t>
        </is>
      </c>
      <c r="E4" s="5" t="inlineStr">
        <is>
          <t>seq دائم، مخزن flash، تصحيح انحراف الساعة، وسم أيام الفجوات في UTR</t>
        </is>
      </c>
    </row>
    <row r="5">
      <c r="A5" s="5" t="inlineStr">
        <is>
          <t>R4</t>
        </is>
      </c>
      <c r="B5" s="5" t="inlineStr">
        <is>
          <t>أسماء مستخدمين مشتركة بين أشخاص</t>
        </is>
      </c>
      <c r="C5" s="5" t="inlineStr">
        <is>
          <t>حضور مختلط وتمويل خاطئ</t>
        </is>
      </c>
      <c r="D5" s="5" t="inlineStr">
        <is>
          <t>عالٍ</t>
        </is>
      </c>
      <c r="E5" s="5" t="inlineStr">
        <is>
          <t>تسجيل الضيوف الذاتي + shared-users=1 + أداة التقسيم حسب MAC</t>
        </is>
      </c>
    </row>
    <row r="6">
      <c r="A6" s="5" t="inlineStr">
        <is>
          <t>R5</t>
        </is>
      </c>
      <c r="B6" s="5" t="inlineStr">
        <is>
          <t>تنفيذ الراوتر لنص الرد</t>
        </is>
      </c>
      <c r="C6" s="5" t="inlineStr">
        <is>
          <t>اختراق الخادم = التحكم بالراوترات</t>
        </is>
      </c>
      <c r="D6" s="5" t="inlineStr">
        <is>
          <t>منخفض/حرج</t>
        </is>
      </c>
      <c r="E6" s="5" t="inlineStr">
        <is>
          <t>قائمة أوامر مسموحة يفسّرها السكربت منذ M2 (لا تأجيل إلى التقوية)</t>
        </is>
      </c>
    </row>
    <row r="7">
      <c r="A7" s="5" t="inlineStr">
        <is>
          <t>R6</t>
        </is>
      </c>
      <c r="B7" s="5" t="inlineStr">
        <is>
          <t>دقة صيغة UR مقابل النظام الحالي</t>
        </is>
      </c>
      <c r="C7" s="5" t="inlineStr">
        <is>
          <t>رفض الجهة المانحة للتقارير</t>
        </is>
      </c>
      <c r="D7" s="5" t="inlineStr">
        <is>
          <t>متوسط</t>
        </is>
      </c>
      <c r="E7" s="5" t="inlineStr">
        <is>
          <t>حاسبة نقية test-first + اختبارات ذهبية + مقارنة أشهر التشغيل المتوازي</t>
        </is>
      </c>
    </row>
    <row r="8">
      <c r="A8" s="5" t="inlineStr">
        <is>
          <t>R7</t>
        </is>
      </c>
      <c r="B8" s="5" t="inlineStr">
        <is>
          <t>تعارض السكربتين أثناء التشغيل المتوازي (خطاف on-login واحد لكل ملف)</t>
        </is>
      </c>
      <c r="C8" s="5" t="inlineStr">
        <is>
          <t>تعطيل سكربت CoWorkSpaces</t>
        </is>
      </c>
      <c r="D8" s="5" t="inlineStr">
        <is>
          <t>متوسط</t>
        </is>
      </c>
      <c r="E8" s="5" t="inlineStr">
        <is>
          <t>وضع «استطلاع فقط» لسكربتنا دون لمس خطافاتهم حتى القطع في M13</t>
        </is>
      </c>
    </row>
    <row r="9">
      <c r="A9" s="5" t="inlineStr">
        <is>
          <t>R8</t>
        </is>
      </c>
      <c r="B9" s="5" t="inlineStr">
        <is>
          <t>تصدير CoWorkSpaces ناقص (بلا جلسات خام)</t>
        </is>
      </c>
      <c r="C9" s="5" t="inlineStr">
        <is>
          <t>صعوبة اختبار المطابقة</t>
        </is>
      </c>
      <c r="D9" s="5" t="inlineStr">
        <is>
          <t>متوسط</t>
        </is>
      </c>
      <c r="E9" s="5" t="inlineStr">
        <is>
          <t>المطابقة على مستوى UTR والمجاميع + بيانات التشغيل المتوازي</t>
        </is>
      </c>
    </row>
    <row r="10">
      <c r="A10" s="5" t="inlineStr">
        <is>
          <t>R9</t>
        </is>
      </c>
      <c r="B10" s="5" t="inlineStr">
        <is>
          <t>المالية v2 تكسر الفواتير/POS/الاختبارات القائمة</t>
        </is>
      </c>
      <c r="C10" s="5" t="inlineStr">
        <is>
          <t>انحدار في الإنتاج</t>
        </is>
      </c>
      <c r="D10" s="5" t="inlineStr">
        <is>
          <t>متوسط</t>
        </is>
      </c>
      <c r="E10" s="5" t="inlineStr">
        <is>
          <t>تغييرات إضافية فقط، flag لكل مساحة، مزامنة الحالة القديمة، backfill مختبَر</t>
        </is>
      </c>
    </row>
    <row r="11">
      <c r="A11" s="5" t="inlineStr">
        <is>
          <t>R10</t>
        </is>
      </c>
      <c r="B11" s="5" t="inlineStr">
        <is>
          <t>مطوّر واحد (سعة واعتمادية)</t>
        </is>
      </c>
      <c r="C11" s="5" t="inlineStr">
        <is>
          <t>تأخير وتراكم مراجعات</t>
        </is>
      </c>
      <c r="D11" s="5" t="inlineStr">
        <is>
          <t>عالٍ</t>
        </is>
      </c>
      <c r="E11" s="5" t="inlineStr">
        <is>
          <t>وكلاء متوازيون في worktrees، المسار الأدنى للانتقال، إعادة تقدير بعد M2</t>
        </is>
      </c>
    </row>
    <row r="12">
      <c r="A12" s="5" t="inlineStr">
        <is>
          <t>R11</t>
        </is>
      </c>
      <c r="B12" s="5" t="inlineStr">
        <is>
          <t>بيانات شخصية (MAC، الجلسات)</t>
        </is>
      </c>
      <c r="C12" s="5" t="inlineStr">
        <is>
          <t>مخاطر خصوصية</t>
        </is>
      </c>
      <c r="D12" s="5" t="inlineStr">
        <is>
          <t>متوسط</t>
        </is>
      </c>
      <c r="E12" s="5" t="inlineStr">
        <is>
          <t>سياسة احتفاظ (M12.8)، صلاحيات وصول، تدقيق</t>
        </is>
      </c>
    </row>
    <row r="13">
      <c r="A13" s="5" t="inlineStr">
        <is>
          <t>R12</t>
        </is>
      </c>
      <c r="B13" s="5" t="inlineStr">
        <is>
          <t>الملحق أ (80 شاشة) غير مرئي بعد</t>
        </is>
      </c>
      <c r="C13" s="5" t="inlineStr">
        <is>
          <t>نطاق إضافي غير مقدّر</t>
        </is>
      </c>
      <c r="D13" s="5" t="inlineStr">
        <is>
          <t>متوسط</t>
        </is>
      </c>
      <c r="E13" s="5" t="inlineStr">
        <is>
          <t>مراجعته في M0 وتحديث الشيت إلى v1.1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rightToLeft="1" workbookViewId="0">
      <pane ySplit="1" topLeftCell="A2" activePane="bottomLeft" state="frozen"/>
      <selection pane="bottomLeft" activeCell="A1" sqref="A1"/>
    </sheetView>
  </sheetViews>
  <sheetFormatPr baseColWidth="8" defaultRowHeight="15"/>
  <cols>
    <col width="6" customWidth="1" min="1" max="1"/>
    <col width="18" customWidth="1" min="2" max="2"/>
    <col width="100" customWidth="1" min="3" max="3"/>
  </cols>
  <sheetData>
    <row r="1">
      <c r="A1" s="4" t="inlineStr">
        <is>
          <t>#</t>
        </is>
      </c>
      <c r="B1" s="4" t="inlineStr">
        <is>
          <t>المحور</t>
        </is>
      </c>
      <c r="C1" s="4" t="inlineStr">
        <is>
          <t>القرار</t>
        </is>
      </c>
    </row>
    <row r="2">
      <c r="A2" s="5" t="inlineStr">
        <is>
          <t>D1</t>
        </is>
      </c>
      <c r="B2" s="5" t="inlineStr">
        <is>
          <t>الاتجاه</t>
        </is>
      </c>
      <c r="C2" s="5" t="inlineStr">
        <is>
          <t>دمج فوق الموجود: نُبقي الاكتشاف/الحجز/الدردشة/POS/SSO ونضيف طبقة التشغيل</t>
        </is>
      </c>
    </row>
    <row r="3">
      <c r="A3" s="5" t="inlineStr">
        <is>
          <t>D2</t>
        </is>
      </c>
      <c r="B3" s="5" t="inlineStr">
        <is>
          <t>المالية</t>
        </is>
      </c>
      <c r="C3" s="5" t="inlineStr">
        <is>
          <t>مالية كاملة لصاحب المساحة بلا بوابة دفع؛ الخطط تسعير على مستوى المساحة</t>
        </is>
      </c>
    </row>
    <row r="4">
      <c r="A4" s="5" t="inlineStr">
        <is>
          <t>D3</t>
        </is>
      </c>
      <c r="B4" s="5" t="inlineStr">
        <is>
          <t>الدخول</t>
        </is>
      </c>
      <c r="C4" s="5" t="inlineStr">
        <is>
          <t>SSO + ربط اسم مستخدم MikroTik؛ تسجيل ضيف ذاتي من الهوتسبوت؛ لا OTP</t>
        </is>
      </c>
    </row>
    <row r="5">
      <c r="A5" s="5" t="inlineStr">
        <is>
          <t>D4</t>
        </is>
      </c>
      <c r="B5" s="5" t="inlineStr">
        <is>
          <t>الفريق</t>
        </is>
      </c>
      <c r="C5" s="5" t="inlineStr">
        <is>
          <t>مطوّر واحد + Claude؛ مراحل تسلسلية مع وكلاء متوازين داخل كل مرحلة</t>
        </is>
      </c>
    </row>
    <row r="6">
      <c r="A6" s="5" t="inlineStr">
        <is>
          <t>D5</t>
        </is>
      </c>
      <c r="B6" s="5" t="inlineStr">
        <is>
          <t>الاستضافة</t>
        </is>
      </c>
      <c r="C6" s="5" t="inlineStr">
        <is>
          <t>VPS قبل أول راوتر حقيقي (2vCPU/4GB + Redis + Supervisor)؛ sync.taqat.space</t>
        </is>
      </c>
    </row>
    <row r="7">
      <c r="A7" s="5" t="inlineStr">
        <is>
          <t>D6</t>
        </is>
      </c>
      <c r="B7" s="5" t="inlineStr">
        <is>
          <t>البيانات</t>
        </is>
      </c>
      <c r="C7" s="5" t="inlineStr">
        <is>
          <t>تشغيل متوازٍ على راوتر TAQAT GAZA بعد M2؛ ترحيل عبر تصدير CSV/Excel</t>
        </is>
      </c>
    </row>
    <row r="8">
      <c r="A8" s="5" t="inlineStr">
        <is>
          <t>D7</t>
        </is>
      </c>
      <c r="B8" s="5" t="inlineStr">
        <is>
          <t>تكامل الراوتر</t>
        </is>
      </c>
      <c r="C8" s="5" t="inlineStr">
        <is>
          <t>نموذج PUSH (الراوتر يرسل) بدل PULL في DOCS/mikrotik-integration-plan.md</t>
        </is>
      </c>
    </row>
    <row r="9">
      <c r="A9" s="5" t="inlineStr">
        <is>
          <t>D8</t>
        </is>
      </c>
      <c r="B9" s="5" t="inlineStr">
        <is>
          <t>العقد</t>
        </is>
      </c>
      <c r="C9" s="5" t="inlineStr">
        <is>
          <t>توسيع Subscription ليصبح Contract بدل كيان جديد</t>
        </is>
      </c>
    </row>
    <row r="10">
      <c r="A10" s="5" t="inlineStr">
        <is>
          <t>D9</t>
        </is>
      </c>
      <c r="B10" s="5" t="inlineStr">
        <is>
          <t>المالية v2</t>
        </is>
      </c>
      <c r="C10" s="5" t="inlineStr">
        <is>
          <t>إضافية خلف flag finance_v2 مع مزامنة الحالات القديمة</t>
        </is>
      </c>
    </row>
    <row r="11">
      <c r="A11" s="5" t="inlineStr">
        <is>
          <t>D10</t>
        </is>
      </c>
      <c r="B11" s="5" t="inlineStr">
        <is>
          <t>UR</t>
        </is>
      </c>
      <c r="C11" s="5" t="inlineStr">
        <is>
          <t>حاسبة نقية UrCalculator بإصدارات معلمات غير قابلة للتعديل ونتائج مجمّدة</t>
        </is>
      </c>
    </row>
    <row r="12">
      <c r="A12" s="5" t="inlineStr">
        <is>
          <t>D11</t>
        </is>
      </c>
      <c r="B12" s="5" t="inlineStr">
        <is>
          <t>المكونات المشتركة</t>
        </is>
      </c>
      <c r="C12" s="5" t="inlineStr">
        <is>
          <t>مكونات مشتركة مخصصة: audit_logs، approval_requests، TOTP، phpspreadsheet/phpword</t>
        </is>
      </c>
    </row>
    <row r="13">
      <c r="A13" s="5" t="inlineStr">
        <is>
          <t>D12</t>
        </is>
      </c>
      <c r="B13" s="5" t="inlineStr">
        <is>
          <t>المخرجات</t>
        </is>
      </c>
      <c r="C13" s="5" t="inlineStr">
        <is>
          <t>Markdown + Excel في DOCS/new plan/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8"/>
  <sheetViews>
    <sheetView rightToLeft="1" workbookViewId="0">
      <pane ySplit="1" topLeftCell="A2" activePane="bottomLeft" state="frozen"/>
      <selection pane="bottomLeft" activeCell="A1" sqref="A1"/>
    </sheetView>
  </sheetViews>
  <sheetFormatPr baseColWidth="8" defaultRowHeight="15"/>
  <cols>
    <col width="5" customWidth="1" min="1" max="1"/>
    <col width="80" customWidth="1" min="2" max="2"/>
    <col width="16" customWidth="1" min="3" max="3"/>
    <col width="50" customWidth="1" min="4" max="4"/>
  </cols>
  <sheetData>
    <row r="1">
      <c r="A1" s="4" t="inlineStr">
        <is>
          <t>#</t>
        </is>
      </c>
      <c r="B1" s="4" t="inlineStr">
        <is>
          <t>السؤال</t>
        </is>
      </c>
      <c r="C1" s="4" t="inlineStr">
        <is>
          <t>يؤثر على</t>
        </is>
      </c>
      <c r="D1" s="4" t="inlineStr">
        <is>
          <t>الإجابة</t>
        </is>
      </c>
    </row>
    <row r="2">
      <c r="A2" s="5" t="n">
        <v>1</v>
      </c>
      <c r="B2" s="5" t="inlineStr">
        <is>
          <t>مستويات السوبر أدمن: هل يوجد أكثر من مستوى (مشغّل، مدقق مالي، ممثل مانح)؟</t>
        </is>
      </c>
      <c r="C2" s="5" t="inlineStr">
        <is>
          <t>M8</t>
        </is>
      </c>
      <c r="D2" s="14" t="inlineStr"/>
    </row>
    <row r="3">
      <c r="A3" s="5" t="n">
        <v>2</v>
      </c>
      <c r="B3" s="5" t="inlineStr">
        <is>
          <t>هل يرى الفريلانسر ساعاته المرجّحة بعامل C أم الفعلية فقط؟</t>
        </is>
      </c>
      <c r="C3" s="5" t="inlineStr">
        <is>
          <t>M9.3</t>
        </is>
      </c>
      <c r="D3" s="14" t="inlineStr"/>
    </row>
    <row r="4">
      <c r="A4" s="5" t="n">
        <v>3</v>
      </c>
      <c r="B4" s="5" t="inlineStr">
        <is>
          <t>الضريبة: هل تُفعَّل لمساحات معينة؟ وبأي معدل؟</t>
        </is>
      </c>
      <c r="C4" s="5" t="inlineStr">
        <is>
          <t>M5.14</t>
        </is>
      </c>
      <c r="D4" s="14" t="inlineStr"/>
    </row>
    <row r="5">
      <c r="A5" s="5" t="n">
        <v>4</v>
      </c>
      <c r="B5" s="5" t="inlineStr">
        <is>
          <t>سياسة الاحتفاظ بالبيانات (MAC، الجلسات) وحذفها</t>
        </is>
      </c>
      <c r="C5" s="5" t="inlineStr">
        <is>
          <t>M12.8</t>
        </is>
      </c>
      <c r="D5" s="14" t="inlineStr"/>
    </row>
    <row r="6">
      <c r="A6" s="5" t="n">
        <v>5</v>
      </c>
      <c r="B6" s="5" t="inlineStr">
        <is>
          <t>هل يحتوي تصدير CoWorkSpaces على UTR لكل مشترك وجلسات خام؟</t>
        </is>
      </c>
      <c r="C6" s="5" t="inlineStr">
        <is>
          <t>M6.1</t>
        </is>
      </c>
      <c r="D6" s="14" t="inlineStr"/>
    </row>
    <row r="7">
      <c r="A7" s="5" t="n">
        <v>6</v>
      </c>
      <c r="B7" s="5" t="inlineStr">
        <is>
          <t>هل لدى TAQAT GAZA أكثر من فرع/راوتر حاليًا؟ وما موديل الراوتر وإصدار RouterOS؟</t>
        </is>
      </c>
      <c r="C7" s="5" t="inlineStr">
        <is>
          <t>M1.2، M2.12</t>
        </is>
      </c>
      <c r="D7" s="14" t="inlineStr"/>
    </row>
    <row r="8">
      <c r="A8" s="5" t="n">
        <v>7</v>
      </c>
      <c r="B8" s="5" t="inlineStr">
        <is>
          <t>خطط المنصة للمساحات (مجانية/مدفوعة): تتبع يدوي للحالة كما في نموذج العمل الحالي؟</t>
        </is>
      </c>
      <c r="C8" s="5" t="inlineStr">
        <is>
          <t>M8.1</t>
        </is>
      </c>
      <c r="D8" s="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2026-10-29T13:00:37Z</dcterms:created>
  <dcterms:modified xmlns:dcterms="http://purl.org/dc/terms/" xmlns:xsi="http://www.w3.org/2001/XMLSchema-instance" xsi:type="dcterms:W3CDTF">2026-10-29T13:00:38Z</dcterms:modified>
</cp:coreProperties>
</file>